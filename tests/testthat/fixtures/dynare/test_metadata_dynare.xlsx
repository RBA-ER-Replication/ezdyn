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Dev\DSGE_model_git\dashboard\DINGOdash\inputs\"/>
    </mc:Choice>
  </mc:AlternateContent>
  <xr:revisionPtr revIDLastSave="0" documentId="13_ncr:1_{0D64E73E-22AC-43F4-980D-32098D407FF4}" xr6:coauthVersionLast="47" xr6:coauthVersionMax="47" xr10:uidLastSave="{00000000-0000-0000-0000-000000000000}"/>
  <bookViews>
    <workbookView xWindow="11430" yWindow="0" windowWidth="11700" windowHeight="14730" xr2:uid="{920EF052-944E-49F4-BAE7-7197E512B331}"/>
  </bookViews>
  <sheets>
    <sheet name="variables" sheetId="1" r:id="rId1"/>
    <sheet name="shocks" sheetId="3" r:id="rId2"/>
    <sheet name="parameters" sheetId="4" r:id="rId3"/>
    <sheet name="Sheet2"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H23" i="3"/>
  <c r="H24" i="3"/>
  <c r="H25" i="3"/>
  <c r="H26" i="3"/>
  <c r="H27" i="3"/>
  <c r="H28" i="3"/>
  <c r="H29" i="3"/>
  <c r="H2" i="3"/>
  <c r="I17" i="3"/>
  <c r="I2" i="3"/>
  <c r="I3" i="3"/>
  <c r="I4" i="3"/>
  <c r="C32" i="4"/>
  <c r="C28" i="4"/>
  <c r="C23" i="4"/>
  <c r="C16" i="4"/>
  <c r="C15" i="4"/>
  <c r="C13" i="4"/>
  <c r="C12" i="4"/>
  <c r="C10" i="4"/>
  <c r="C9" i="4"/>
  <c r="B39" i="3"/>
  <c r="G39" i="3" s="1"/>
  <c r="B38" i="3"/>
  <c r="G38" i="3" s="1"/>
  <c r="B58" i="3"/>
  <c r="G58" i="3" s="1"/>
  <c r="B44" i="3"/>
  <c r="G44" i="3" s="1"/>
  <c r="B45" i="3"/>
  <c r="G45" i="3" s="1"/>
  <c r="B43" i="3"/>
  <c r="G43" i="3" s="1"/>
  <c r="G31" i="3"/>
  <c r="G32" i="3"/>
  <c r="G33" i="3"/>
  <c r="G34" i="3"/>
  <c r="G35" i="3"/>
  <c r="G36" i="3"/>
  <c r="G37" i="3"/>
  <c r="G40" i="3"/>
  <c r="G41" i="3"/>
  <c r="G42" i="3"/>
  <c r="G46" i="3"/>
  <c r="G47" i="3"/>
  <c r="G48" i="3"/>
  <c r="G49" i="3"/>
  <c r="G50" i="3"/>
  <c r="G51" i="3"/>
  <c r="G52" i="3"/>
  <c r="G53" i="3"/>
  <c r="G54" i="3"/>
  <c r="G55" i="3"/>
  <c r="G56" i="3"/>
  <c r="G57" i="3"/>
  <c r="G59" i="3"/>
  <c r="G60" i="3"/>
  <c r="G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tc={78DAD05A-E20F-4EA4-8EAE-96CD49D15FAD}</author>
    <author>tc={1ED72B84-CA70-41DD-AF18-6F4D3527AA9E}</author>
    <author>tc={F5A9859C-007C-441C-8DDC-A92AE1B5C32B}</author>
    <author>tc={4C826EFA-9B45-4C74-A8D5-8A63B73CB447}</author>
    <author>tc={0E12D5EF-3E3B-4BAE-92E0-FB66F03F8D79}</author>
    <author>SULLIVAN, Hamish</author>
  </authors>
  <commentList>
    <comment ref="F1" authorId="0" shapeId="0" xr:uid="{78DAD05A-E20F-4EA4-8EAE-96CD49D15FAD}">
      <text>
        <t>[Threaded comment]
Your version of Excel allows you to read this threaded comment; however, any edits to it will get removed if the file is opened in a newer version of Excel. Learn more: https://go.microsoft.com/fwlink/?linkid=870924
Comment:
    This formula will be calculated with the latest parameter values and then used to rescale the value.</t>
      </text>
    </comment>
    <comment ref="G1" authorId="1" shapeId="0" xr:uid="{1ED72B84-CA70-41DD-AF18-6F4D3527AA9E}">
      <text>
        <t>[Threaded comment]
Your version of Excel allows you to read this threaded comment; however, any edits to it will get removed if the file is opened in a newer version of Excel. Learn more: https://go.microsoft.com/fwlink/?linkid=870924
Comment:
    Which one is the baseline version of the variable; i.e. when trying to find the display name which matches to the dynare name, which one should be returned? 
Currently used because the IRF code assumes one display name for each dynare variable name.</t>
      </text>
    </comment>
    <comment ref="H1" authorId="2" shapeId="0" xr:uid="{F5A9859C-007C-441C-8DDC-A92AE1B5C32B}">
      <text>
        <t>[Threaded comment]
Your version of Excel allows you to read this threaded comment; however, any edits to it will get removed if the file is opened in a newer version of Excel. Learn more: https://go.microsoft.com/fwlink/?linkid=870924
Comment:
    Series which shouldn’t be displayed in alt paths. Generally, this will be series which are not in the input spreadsheet.</t>
      </text>
    </comment>
    <comment ref="F20" authorId="3" shapeId="0" xr:uid="{4C826EFA-9B45-4C74-A8D5-8A63B73CB447}">
      <text>
        <t>[Threaded comment]
Your version of Excel allows you to read this threaded comment; however, any edits to it will get removed if the file is opened in a newer version of Excel. Learn more: https://go.microsoft.com/fwlink/?linkid=870924
Comment:
    Not sure this is correct; inconsistent with Finn’s original code which applied no scaling for some reason</t>
      </text>
    </comment>
    <comment ref="F21" authorId="4" shapeId="0" xr:uid="{0E12D5EF-3E3B-4BAE-92E0-FB66F03F8D79}">
      <text>
        <t xml:space="preserve">[Threaded comment]
Your version of Excel allows you to read this threaded comment; however, any edits to it will get removed if the file is opened in a newer version of Excel. Learn more: https://go.microsoft.com/fwlink/?linkid=870924
Comment:
    Not sure this is correct; inconsistent with Finn’s original code which applied no scaling for some reason
</t>
      </text>
    </comment>
    <comment ref="A26" authorId="5" shapeId="0" xr:uid="{CB35CCA1-EC6C-4967-BF6B-BF69D45D061F}">
      <text>
        <r>
          <rPr>
            <b/>
            <sz val="9"/>
            <color indexed="81"/>
            <rFont val="Tahoma"/>
            <family val="2"/>
          </rPr>
          <t>SULLIVAN, Hamish:</t>
        </r>
        <r>
          <rPr>
            <sz val="9"/>
            <color indexed="81"/>
            <rFont val="Tahoma"/>
            <family val="2"/>
          </rPr>
          <t xml:space="preserve">
Note: mc_i is defined as marginal cost in sector I minus price in sector I, which is the negative of the markup. Hence, the scaling factor has a negative.</t>
        </r>
      </text>
    </comment>
    <comment ref="A36" authorId="5" shapeId="0" xr:uid="{0B69AC42-C829-4545-94D3-6CE3DCE62AA5}">
      <text>
        <r>
          <rPr>
            <b/>
            <sz val="9"/>
            <color indexed="81"/>
            <rFont val="Tahoma"/>
            <family val="2"/>
          </rPr>
          <t>SULLIVAN, Hamish:</t>
        </r>
        <r>
          <rPr>
            <sz val="9"/>
            <color indexed="81"/>
            <rFont val="Tahoma"/>
            <family val="2"/>
          </rPr>
          <t xml:space="preserve">
I added names for these variables purely for the shock decomposition. 
Should add units at a later point in time.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SULLIVAN, Hamish</author>
  </authors>
  <commentList>
    <comment ref="H16" authorId="0" shapeId="0" xr:uid="{F581F93A-B46A-4BAF-80AE-16E0E1C70726}">
      <text>
        <r>
          <rPr>
            <b/>
            <sz val="9"/>
            <color indexed="81"/>
            <rFont val="Tahoma"/>
            <family val="2"/>
          </rPr>
          <t>SULLIVAN, Hamish:</t>
        </r>
        <r>
          <rPr>
            <sz val="9"/>
            <color indexed="81"/>
            <rFont val="Tahoma"/>
            <family val="2"/>
          </rPr>
          <t xml:space="preserve">
Temporary for SAMM.</t>
        </r>
      </text>
    </comment>
    <comment ref="I16" authorId="0" shapeId="0" xr:uid="{F5DA6298-2308-4399-94F5-5F0F1B633A62}">
      <text>
        <r>
          <rPr>
            <b/>
            <sz val="9"/>
            <color indexed="81"/>
            <rFont val="Tahoma"/>
            <family val="2"/>
          </rPr>
          <t>SULLIVAN, Hamish:</t>
        </r>
        <r>
          <rPr>
            <sz val="9"/>
            <color indexed="81"/>
            <rFont val="Tahoma"/>
            <family val="2"/>
          </rPr>
          <t xml:space="preserve">
Temporary for SAMM.</t>
        </r>
      </text>
    </comment>
    <comment ref="H21" authorId="0" shapeId="0" xr:uid="{F577656F-B46B-46C4-8B58-81CA2B1F6B3A}">
      <text>
        <r>
          <rPr>
            <b/>
            <sz val="9"/>
            <color indexed="81"/>
            <rFont val="Tahoma"/>
            <family val="2"/>
          </rPr>
          <t>SULLIVAN, Hamish:</t>
        </r>
        <r>
          <rPr>
            <sz val="9"/>
            <color indexed="81"/>
            <rFont val="Tahoma"/>
            <family val="2"/>
          </rPr>
          <t xml:space="preserve">
Temporary for SAMM.</t>
        </r>
      </text>
    </comment>
    <comment ref="I21" authorId="0" shapeId="0" xr:uid="{541078B6-2B03-4E5D-936A-4E853206211C}">
      <text>
        <r>
          <rPr>
            <b/>
            <sz val="9"/>
            <color indexed="81"/>
            <rFont val="Tahoma"/>
            <family val="2"/>
          </rPr>
          <t>SULLIVAN, Hamish:</t>
        </r>
        <r>
          <rPr>
            <sz val="9"/>
            <color indexed="81"/>
            <rFont val="Tahoma"/>
            <family val="2"/>
          </rPr>
          <t xml:space="preserve">
Temporary for SAMM.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SULLIVAN, Hamish</author>
  </authors>
  <commentList>
    <comment ref="D42" authorId="0" shapeId="0" xr:uid="{A28EADB4-3743-4B61-A35B-8676BCBFA2A2}">
      <text>
        <r>
          <rPr>
            <b/>
            <sz val="9"/>
            <color indexed="81"/>
            <rFont val="Tahoma"/>
            <family val="2"/>
          </rPr>
          <t>SULLIVAN, Hamish:</t>
        </r>
        <r>
          <rPr>
            <sz val="9"/>
            <color indexed="81"/>
            <rFont val="Tahoma"/>
            <family val="2"/>
          </rPr>
          <t xml:space="preserve">
where are the other investment sector adjustment costs?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A7A5C9-52FF-4B41-923E-0A9C58E76C42}" keepAlive="1" name="Query - Shock code Description" description="Connection to the 'Shock code Description' query in the workbook." type="5" refreshedVersion="0" background="1">
    <dbPr connection="Provider=Microsoft.Mashup.OleDb.1;Data Source=$Workbook$;Location=&quot;Shock code Description&quot;;Extended Properties=&quot;&quot;" command="SELECT * FROM [Shock code Description]"/>
  </connection>
</connections>
</file>

<file path=xl/sharedStrings.xml><?xml version="1.0" encoding="utf-8"?>
<sst xmlns="http://schemas.openxmlformats.org/spreadsheetml/2006/main" count="828" uniqueCount="529">
  <si>
    <t>dynare_name</t>
  </si>
  <si>
    <t>display_name</t>
  </si>
  <si>
    <t>units</t>
  </si>
  <si>
    <t>scale_formula</t>
  </si>
  <si>
    <t>q_obs</t>
  </si>
  <si>
    <t>ntwi_growth</t>
  </si>
  <si>
    <t>infl_obs</t>
  </si>
  <si>
    <t>r_obs</t>
  </si>
  <si>
    <t>gdp_growth</t>
  </si>
  <si>
    <t>y_va</t>
  </si>
  <si>
    <t>c</t>
  </si>
  <si>
    <t>inve</t>
  </si>
  <si>
    <t>import_vols</t>
  </si>
  <si>
    <t>export_vols</t>
  </si>
  <si>
    <t>y_x_m</t>
  </si>
  <si>
    <t>z_x</t>
  </si>
  <si>
    <t>inve_h</t>
  </si>
  <si>
    <t>inve_z</t>
  </si>
  <si>
    <t>Real TWI</t>
  </si>
  <si>
    <t>Nominal TWI</t>
  </si>
  <si>
    <t>Inflation</t>
  </si>
  <si>
    <t>Consumption</t>
  </si>
  <si>
    <t>Investment</t>
  </si>
  <si>
    <t>Imports</t>
  </si>
  <si>
    <t>Quarterly</t>
  </si>
  <si>
    <t>Contribution to GDP</t>
  </si>
  <si>
    <t>cumsum</t>
  </si>
  <si>
    <t>100*c_ss/y_va_ss</t>
  </si>
  <si>
    <t>GDP Level</t>
  </si>
  <si>
    <t>GDP Growth</t>
  </si>
  <si>
    <t>Cash Rate</t>
  </si>
  <si>
    <t>Non-resource Exports</t>
  </si>
  <si>
    <t>Total Exports</t>
  </si>
  <si>
    <t>Resource Exports</t>
  </si>
  <si>
    <t>Dwelling Investment</t>
  </si>
  <si>
    <t>Mining Investment</t>
  </si>
  <si>
    <t>c_growth</t>
  </si>
  <si>
    <t>Consumption Growth</t>
  </si>
  <si>
    <t>Investment Growth</t>
  </si>
  <si>
    <t>inve_growth</t>
  </si>
  <si>
    <t>import_vols_growth</t>
  </si>
  <si>
    <t>Quarterly growth</t>
  </si>
  <si>
    <t>export_vols_growth</t>
  </si>
  <si>
    <t>inve_h_growth</t>
  </si>
  <si>
    <t>inve_z_growth</t>
  </si>
  <si>
    <t>Year-ended</t>
  </si>
  <si>
    <t>Inflation (ye)</t>
  </si>
  <si>
    <t>QGROWTH_TO_YE</t>
  </si>
  <si>
    <t>GDP Growth (ye)</t>
  </si>
  <si>
    <t>Mining Investment Growth</t>
  </si>
  <si>
    <t>Dwelling Investment Growth</t>
  </si>
  <si>
    <t>Export Volumes Growth</t>
  </si>
  <si>
    <t>Import Volumes Growth</t>
  </si>
  <si>
    <t>default</t>
  </si>
  <si>
    <t>alt_paths</t>
  </si>
  <si>
    <t>total_hours_obs</t>
  </si>
  <si>
    <t>Hours worked</t>
  </si>
  <si>
    <t>g</t>
  </si>
  <si>
    <t>Public demand</t>
  </si>
  <si>
    <t>Per cent deviation</t>
  </si>
  <si>
    <t>p_star_z</t>
  </si>
  <si>
    <t>p_z</t>
  </si>
  <si>
    <t>Commodity Price (Foreign)</t>
  </si>
  <si>
    <t>Commodity Price (Domestic)</t>
  </si>
  <si>
    <t>ppt</t>
  </si>
  <si>
    <t>mc_n</t>
  </si>
  <si>
    <t>mc_h</t>
  </si>
  <si>
    <t>mc_m</t>
  </si>
  <si>
    <t>Markup — Tradable (Non-Resource) Sector</t>
  </si>
  <si>
    <t>mc_f</t>
  </si>
  <si>
    <t>Markup — Imported Goods Sector</t>
  </si>
  <si>
    <t>Markup — Housing Sector</t>
  </si>
  <si>
    <t>Markup — Non-Tradable Sector</t>
  </si>
  <si>
    <t>pi_w</t>
  </si>
  <si>
    <t>Wage Inflation</t>
  </si>
  <si>
    <t>pi_w_n</t>
  </si>
  <si>
    <t>Wage inflation — Non-Tradable Sector</t>
  </si>
  <si>
    <t>rk_n</t>
  </si>
  <si>
    <t>Real Rental Rate on Capital — Non-Tradable Sector</t>
  </si>
  <si>
    <t>NA</t>
  </si>
  <si>
    <t>Inflation  — Non-Tradable Sector</t>
  </si>
  <si>
    <t>infl_n</t>
  </si>
  <si>
    <t>Output - Non-tradable sector</t>
  </si>
  <si>
    <t>Output - Tradable (non-resource) sector</t>
  </si>
  <si>
    <t>y_va_m</t>
  </si>
  <si>
    <t>y_va_n</t>
  </si>
  <si>
    <t>p_m_ss*y_va_m_ss/y_va_ss</t>
  </si>
  <si>
    <t>p_n_ss*y_va_n_ss/y_va_ss</t>
  </si>
  <si>
    <t>%</t>
  </si>
  <si>
    <t>Quarter average</t>
  </si>
  <si>
    <t>unit_symbol_irf</t>
  </si>
  <si>
    <t>unit_symbol_baseline</t>
  </si>
  <si>
    <t>% dev</t>
  </si>
  <si>
    <t>infl_star_obs</t>
  </si>
  <si>
    <t>Foreign Inflation</t>
  </si>
  <si>
    <t>r_star_obs</t>
  </si>
  <si>
    <t>Foreign Interest Rate</t>
  </si>
  <si>
    <t>p_star_z_growth</t>
  </si>
  <si>
    <t>Foreign Commodity Price Growth</t>
  </si>
  <si>
    <t>export_vals_growth</t>
  </si>
  <si>
    <t>Export Values Growth</t>
  </si>
  <si>
    <t>import_vals_growth</t>
  </si>
  <si>
    <t>Import Values Growth</t>
  </si>
  <si>
    <t>infl_m_obs</t>
  </si>
  <si>
    <t>infl_n_obs</t>
  </si>
  <si>
    <t>Inflation - Tradeable (Non-Resource) Sector</t>
  </si>
  <si>
    <t>y_star_growth</t>
  </si>
  <si>
    <t>MTP GDP Growth</t>
  </si>
  <si>
    <t>infl_f</t>
  </si>
  <si>
    <t>pi_w_n_obs</t>
  </si>
  <si>
    <t>pi_w_m_obs</t>
  </si>
  <si>
    <t>pi_w_z_obs</t>
  </si>
  <si>
    <t>pi_w_h_obs</t>
  </si>
  <si>
    <t>infl_h_obs</t>
  </si>
  <si>
    <t>Wage inflation - Tradable (Non-Resource) Sector</t>
  </si>
  <si>
    <t>Wage inflation - Non-Tradeable sector</t>
  </si>
  <si>
    <t>Wage inflation - Resource Sector</t>
  </si>
  <si>
    <t>Wage inflation - Housing sector</t>
  </si>
  <si>
    <t>Inflation - Non-Tradeable Sector</t>
  </si>
  <si>
    <t>Inflation - Housing Sector</t>
  </si>
  <si>
    <t>Inflation - Imports Sector</t>
  </si>
  <si>
    <t>eps_y_star</t>
  </si>
  <si>
    <t>Foreign demand shock</t>
  </si>
  <si>
    <t>eps_r_star</t>
  </si>
  <si>
    <t>Foreign monetary policy shock</t>
  </si>
  <si>
    <t>eps_infl_star</t>
  </si>
  <si>
    <t>Foreign cost push shock</t>
  </si>
  <si>
    <t>eps_e_n</t>
  </si>
  <si>
    <t>Cost push in non-tradeable sector</t>
  </si>
  <si>
    <t>eps_e_h</t>
  </si>
  <si>
    <t>Cost push in housing sector</t>
  </si>
  <si>
    <t>eps_e_m</t>
  </si>
  <si>
    <t>Cost push in non-resource tradeable sector</t>
  </si>
  <si>
    <t>eps_e_m_star</t>
  </si>
  <si>
    <t>Cost push shock for non-resource tradeable sector exports</t>
  </si>
  <si>
    <t>eps_e_f</t>
  </si>
  <si>
    <t>Cost push in imports sector</t>
  </si>
  <si>
    <t>eps_a_n</t>
  </si>
  <si>
    <t>Stationary non-tradeable sector productivity</t>
  </si>
  <si>
    <t>eps_a_h</t>
  </si>
  <si>
    <t>Stationary housing sector productivity</t>
  </si>
  <si>
    <t>eps_a_m</t>
  </si>
  <si>
    <t>Stationary non-resource tradeable sector productivity</t>
  </si>
  <si>
    <t>eps_a_z</t>
  </si>
  <si>
    <t>Stationary resource sector productivity</t>
  </si>
  <si>
    <t>eps_mu</t>
  </si>
  <si>
    <t>Unit root TFP shock</t>
  </si>
  <si>
    <t>eps_psi</t>
  </si>
  <si>
    <t>Risk premium (exchange rate) shock</t>
  </si>
  <si>
    <t>eps_p_star_z</t>
  </si>
  <si>
    <t>Foreign commodity price shock</t>
  </si>
  <si>
    <t>eps_xi_c</t>
  </si>
  <si>
    <t>Consumption preference shock</t>
  </si>
  <si>
    <t>eps_xi_house</t>
  </si>
  <si>
    <t>Housing preference shock</t>
  </si>
  <si>
    <t>eps_g</t>
  </si>
  <si>
    <t>Government spending shock</t>
  </si>
  <si>
    <t>eps_r</t>
  </si>
  <si>
    <t>Monetary policy shock</t>
  </si>
  <si>
    <t>eps_upsilon</t>
  </si>
  <si>
    <t>Investment efficiency shock</t>
  </si>
  <si>
    <t>eps_upsilon_h</t>
  </si>
  <si>
    <t>Housing investment efficiency shock</t>
  </si>
  <si>
    <t>eps_upsilon_z</t>
  </si>
  <si>
    <t>Mining investment efficiency shock</t>
  </si>
  <si>
    <t>eps_ws_n</t>
  </si>
  <si>
    <t>Wage shock in non-tradeable sector</t>
  </si>
  <si>
    <t>eps_ws_h</t>
  </si>
  <si>
    <t>Wage shock in housing sector</t>
  </si>
  <si>
    <t>eps_ws_m</t>
  </si>
  <si>
    <t>Wage shock in other tradeable sector</t>
  </si>
  <si>
    <t>eps_ws_z</t>
  </si>
  <si>
    <t>Wage shock in resources sector</t>
  </si>
  <si>
    <t>eps_xi_h</t>
  </si>
  <si>
    <t>Labour supply shocks</t>
  </si>
  <si>
    <t>description</t>
  </si>
  <si>
    <t>is_measurement_error</t>
  </si>
  <si>
    <t>Foreign</t>
  </si>
  <si>
    <t>Government</t>
  </si>
  <si>
    <t>Supply</t>
  </si>
  <si>
    <t>Demand</t>
  </si>
  <si>
    <t>Demand/Supply/Foreign</t>
  </si>
  <si>
    <t>shock</t>
  </si>
  <si>
    <t>Detailed Supply</t>
  </si>
  <si>
    <t>Markup</t>
  </si>
  <si>
    <t>Wages</t>
  </si>
  <si>
    <t>Labour supply</t>
  </si>
  <si>
    <t>Detailed Demand</t>
  </si>
  <si>
    <t>Risk premium</t>
  </si>
  <si>
    <t>Consumption preference</t>
  </si>
  <si>
    <t>Housing preference</t>
  </si>
  <si>
    <t>Investment efficiency</t>
  </si>
  <si>
    <t>Domestic monetary policy</t>
  </si>
  <si>
    <t>Foreign demand</t>
  </si>
  <si>
    <t>eps_a</t>
  </si>
  <si>
    <t>mec</t>
  </si>
  <si>
    <t>meinve</t>
  </si>
  <si>
    <t>mepzstar</t>
  </si>
  <si>
    <t>mezx</t>
  </si>
  <si>
    <t>meg</t>
  </si>
  <si>
    <t>meinfln</t>
  </si>
  <si>
    <t>meinflh</t>
  </si>
  <si>
    <t>meinflm</t>
  </si>
  <si>
    <t>meyxm</t>
  </si>
  <si>
    <t>medhours</t>
  </si>
  <si>
    <t>meinveh</t>
  </si>
  <si>
    <t>meinvez</t>
  </si>
  <si>
    <t>meyva_n</t>
  </si>
  <si>
    <t>meyva_m</t>
  </si>
  <si>
    <t>meyva_z</t>
  </si>
  <si>
    <t>meyva_h</t>
  </si>
  <si>
    <t>merstar</t>
  </si>
  <si>
    <t>mepiwm</t>
  </si>
  <si>
    <t>mepiwz</t>
  </si>
  <si>
    <t>mepiwh</t>
  </si>
  <si>
    <t>mepiwn</t>
  </si>
  <si>
    <t>mey</t>
  </si>
  <si>
    <t>mex</t>
  </si>
  <si>
    <t>mem</t>
  </si>
  <si>
    <t>meinfl</t>
  </si>
  <si>
    <t>mentwi</t>
  </si>
  <si>
    <t>meystar</t>
  </si>
  <si>
    <t>meinflstar</t>
  </si>
  <si>
    <t>mehours</t>
  </si>
  <si>
    <t>meq</t>
  </si>
  <si>
    <t>Measurement error - consumption</t>
  </si>
  <si>
    <t>Measurement error - investment</t>
  </si>
  <si>
    <t>Measurement error - foreign commodity price</t>
  </si>
  <si>
    <t>Measurement error -  resource exports</t>
  </si>
  <si>
    <t>Measurement error -  government</t>
  </si>
  <si>
    <t>Measurement error -  non-tradable inflation</t>
  </si>
  <si>
    <t>Measurement error -  housing inflation</t>
  </si>
  <si>
    <t>Measurement error -  Tradable non-resource inflation</t>
  </si>
  <si>
    <t>Measurement error -  Housing investment</t>
  </si>
  <si>
    <t>Measurement error -  Resource investment</t>
  </si>
  <si>
    <t>Measurement error -  Foreign interest rate</t>
  </si>
  <si>
    <t>Measurement error -  Tradable non-resource wage inflation</t>
  </si>
  <si>
    <t>Measurement error -  Resource wage inflation</t>
  </si>
  <si>
    <t>Measurement error -  Housing wage inflation</t>
  </si>
  <si>
    <t>Measurement error -  Non-tradable wage inflation</t>
  </si>
  <si>
    <t>Measurement error - Output</t>
  </si>
  <si>
    <t>Measurement error - Exports</t>
  </si>
  <si>
    <t>Measurement error - Imports</t>
  </si>
  <si>
    <t>Measurement error - Inflation</t>
  </si>
  <si>
    <t>mer</t>
  </si>
  <si>
    <t>Measurement error - Interest rate</t>
  </si>
  <si>
    <t>Measurement error - Nominal TWI</t>
  </si>
  <si>
    <t>Measurement error - Foreign output</t>
  </si>
  <si>
    <t>Measurement error - Foreign inflation</t>
  </si>
  <si>
    <t>Measurement error - Real TWI</t>
  </si>
  <si>
    <t>Stationary aggregate TFP productivity</t>
  </si>
  <si>
    <t>Productivity (TFP)</t>
  </si>
  <si>
    <t>Measurement Errors</t>
  </si>
  <si>
    <t>Measurement error - yva_n</t>
  </si>
  <si>
    <t>LaTeX_Symbol</t>
  </si>
  <si>
    <t>Plain_Symbol</t>
  </si>
  <si>
    <t>Description</t>
  </si>
  <si>
    <t>Sector</t>
  </si>
  <si>
    <t>Notes</t>
  </si>
  <si>
    <t>Type</t>
  </si>
  <si>
    <t>Value_Original</t>
  </si>
  <si>
    <t>$\mu$</t>
  </si>
  <si>
    <t>mu</t>
  </si>
  <si>
    <t>mubar</t>
  </si>
  <si>
    <t>Steady-state labour-augmenting productivity growth (steady-state GDP growth)</t>
  </si>
  <si>
    <t>Technology and policy</t>
  </si>
  <si>
    <t>Quarterly. Equal to steady-state GDP growth.</t>
  </si>
  <si>
    <t>Calibrated</t>
  </si>
  <si>
    <t>1.008</t>
  </si>
  <si>
    <t>$\pi$</t>
  </si>
  <si>
    <t>pi</t>
  </si>
  <si>
    <t>pibar</t>
  </si>
  <si>
    <t>Steady-state inflation rate</t>
  </si>
  <si>
    <t>Quarterly.</t>
  </si>
  <si>
    <t>1.0062</t>
  </si>
  <si>
    <t>$\pi^*$</t>
  </si>
  <si>
    <t>pi_star</t>
  </si>
  <si>
    <t>pibar_star</t>
  </si>
  <si>
    <t>Steady-state foreign inflation rate</t>
  </si>
  <si>
    <t>1.005</t>
  </si>
  <si>
    <t>$\iota$</t>
  </si>
  <si>
    <t>iota</t>
  </si>
  <si>
    <t>chi</t>
  </si>
  <si>
    <t>Risk premium scale parameter</t>
  </si>
  <si>
    <t>Risk premium coefficient on foreign borrowings</t>
  </si>
  <si>
    <t>0.0001</t>
  </si>
  <si>
    <t>$b^x$</t>
  </si>
  <si>
    <t>b^x</t>
  </si>
  <si>
    <t>bstarbar</t>
  </si>
  <si>
    <t>Controls steady-state trade deficit</t>
  </si>
  <si>
    <t>Calibrated to match empirical net exports deficit</t>
  </si>
  <si>
    <t>0.25</t>
  </si>
  <si>
    <t>$g$</t>
  </si>
  <si>
    <t>gbar</t>
  </si>
  <si>
    <t>Controls share of public demand in GDP</t>
  </si>
  <si>
    <t>0.6487</t>
  </si>
  <si>
    <t>$\beta$</t>
  </si>
  <si>
    <t>beta</t>
  </si>
  <si>
    <t>Households’ discount factor</t>
  </si>
  <si>
    <t>Households</t>
  </si>
  <si>
    <t>0.9996</t>
  </si>
  <si>
    <t>$\omega_n$</t>
  </si>
  <si>
    <t>omega_n</t>
  </si>
  <si>
    <t>Controls share of non-tradeables in domestic final demand</t>
  </si>
  <si>
    <t>0.397</t>
  </si>
  <si>
    <t>$\omega_m$</t>
  </si>
  <si>
    <t>omega_m</t>
  </si>
  <si>
    <t>Controls share of non-resource tradeables in domestic final demand</t>
  </si>
  <si>
    <t>0.1118</t>
  </si>
  <si>
    <t>$\omega_d$</t>
  </si>
  <si>
    <t>omega_d</t>
  </si>
  <si>
    <t>omega_h</t>
  </si>
  <si>
    <t>Controls share of housing in domestic final demand</t>
  </si>
  <si>
    <t>0.2447</t>
  </si>
  <si>
    <t>$\omega_f$</t>
  </si>
  <si>
    <t>omega_f</t>
  </si>
  <si>
    <t>Controls share of imports in domestic final demand</t>
  </si>
  <si>
    <t>0.2465</t>
  </si>
  <si>
    <t>$\zeta$</t>
  </si>
  <si>
    <t>zeta</t>
  </si>
  <si>
    <t>Intersectoral elasticity of substitution in domestic final demand</t>
  </si>
  <si>
    <t>0.8</t>
  </si>
  <si>
    <t>$\xi$</t>
  </si>
  <si>
    <t>xi</t>
  </si>
  <si>
    <t>zetastar</t>
  </si>
  <si>
    <t>Elasticity of substitution between domestic and foreign goods overseas</t>
  </si>
  <si>
    <t>$\eta$</t>
  </si>
  <si>
    <t>eta</t>
  </si>
  <si>
    <t>Labour elasticity</t>
  </si>
  <si>
    <t>1</t>
  </si>
  <si>
    <t>$\sigma$</t>
  </si>
  <si>
    <t>sigma</t>
  </si>
  <si>
    <t>Intersectoral labour supply elasticity</t>
  </si>
  <si>
    <t>Unsure if correct</t>
  </si>
  <si>
    <t>$A_H$</t>
  </si>
  <si>
    <t>A_H</t>
  </si>
  <si>
    <t>Al</t>
  </si>
  <si>
    <t>Normalising constant for labour in the utility function</t>
  </si>
  <si>
    <t>4.4177</t>
  </si>
  <si>
    <t>$A_d$</t>
  </si>
  <si>
    <t>A_d</t>
  </si>
  <si>
    <t>Ah</t>
  </si>
  <si>
    <t>Normalising constant for capital in the utility function</t>
  </si>
  <si>
    <t>0.3</t>
  </si>
  <si>
    <t>$\alpha_n$</t>
  </si>
  <si>
    <t>alpha_n</t>
  </si>
  <si>
    <t>alpha_h_n</t>
  </si>
  <si>
    <t>Labour share</t>
  </si>
  <si>
    <t>Non-tradeable sector</t>
  </si>
  <si>
    <t>0.71</t>
  </si>
  <si>
    <t>$\gamma_n$</t>
  </si>
  <si>
    <t>gamma_n</t>
  </si>
  <si>
    <t>alpha_k_n</t>
  </si>
  <si>
    <t>Capital share</t>
  </si>
  <si>
    <t>0.24</t>
  </si>
  <si>
    <t>$\theta^{\pi_n}$</t>
  </si>
  <si>
    <t>theta_pi_n</t>
  </si>
  <si>
    <t>theta_n</t>
  </si>
  <si>
    <t>Elasticity of substitution between differentiated goods</t>
  </si>
  <si>
    <t>6</t>
  </si>
  <si>
    <t>$\theta^{w_n}$</t>
  </si>
  <si>
    <t>theta_w_n</t>
  </si>
  <si>
    <t>xi_l_n</t>
  </si>
  <si>
    <t>Elasticity of substitution between differentiated labour</t>
  </si>
  <si>
    <t>$\delta_n$</t>
  </si>
  <si>
    <t>delta_n</t>
  </si>
  <si>
    <t>Depreciation rate</t>
  </si>
  <si>
    <t>0.0047</t>
  </si>
  <si>
    <t>$\alpha_m$</t>
  </si>
  <si>
    <t>alpha_m</t>
  </si>
  <si>
    <t>alpha_h_m</t>
  </si>
  <si>
    <t>Non-resource tradeable sector</t>
  </si>
  <si>
    <t>0.62</t>
  </si>
  <si>
    <t>$\gamma_m$</t>
  </si>
  <si>
    <t>gamma_m</t>
  </si>
  <si>
    <t>alpha_k_m</t>
  </si>
  <si>
    <t>0.32</t>
  </si>
  <si>
    <t>$\theta^{\pi_m}$</t>
  </si>
  <si>
    <t>theta_pi_m</t>
  </si>
  <si>
    <t>theta_m</t>
  </si>
  <si>
    <t>i.e. slope of individual firm's demand curve</t>
  </si>
  <si>
    <t>$\theta^{w_m}$</t>
  </si>
  <si>
    <t>theta_w_m</t>
  </si>
  <si>
    <t>xi_l_m</t>
  </si>
  <si>
    <t>$\delta_m$</t>
  </si>
  <si>
    <t>delta_m</t>
  </si>
  <si>
    <t>0.0075</t>
  </si>
  <si>
    <t>$\omega^*_m$</t>
  </si>
  <si>
    <t>omega_star_m</t>
  </si>
  <si>
    <t>omega_m_star</t>
  </si>
  <si>
    <t>Controls share of non-resource tradeables that are exported</t>
  </si>
  <si>
    <t>0.6541</t>
  </si>
  <si>
    <t>$\alpha_z$</t>
  </si>
  <si>
    <t>alpha_z</t>
  </si>
  <si>
    <t>alpha_h_z</t>
  </si>
  <si>
    <t>Resource sector</t>
  </si>
  <si>
    <t>0.2</t>
  </si>
  <si>
    <t>$\alpha_L$</t>
  </si>
  <si>
    <t>alpha_L</t>
  </si>
  <si>
    <t>alpha_land_z</t>
  </si>
  <si>
    <t>Land share</t>
  </si>
  <si>
    <t>0.5</t>
  </si>
  <si>
    <t>$\delta_z$</t>
  </si>
  <si>
    <t>delta_z</t>
  </si>
  <si>
    <t>0.007</t>
  </si>
  <si>
    <t>$\bar p_z^*$</t>
  </si>
  <si>
    <t>bar p_z_star</t>
  </si>
  <si>
    <t>p_star_z_bar</t>
  </si>
  <si>
    <t>Steady-state foreign-denominated resource price</t>
  </si>
  <si>
    <t>$\alpha_d$</t>
  </si>
  <si>
    <t>alpha_d</t>
  </si>
  <si>
    <t>alpha_h_h</t>
  </si>
  <si>
    <t>Housing sector</t>
  </si>
  <si>
    <t>$\gamma_d$</t>
  </si>
  <si>
    <t>gamma_d</t>
  </si>
  <si>
    <t>alpha_k_h</t>
  </si>
  <si>
    <t>0.64</t>
  </si>
  <si>
    <t>$\theta^{\pi_d}$</t>
  </si>
  <si>
    <t>theta_pi_d</t>
  </si>
  <si>
    <t>theta_h</t>
  </si>
  <si>
    <t>$\theta^{w_d}$</t>
  </si>
  <si>
    <t>theta_w_d</t>
  </si>
  <si>
    <t>xi_l_h</t>
  </si>
  <si>
    <t>$\delta_d$</t>
  </si>
  <si>
    <t>delta_d</t>
  </si>
  <si>
    <t>delta_h</t>
  </si>
  <si>
    <t>0.0023</t>
  </si>
  <si>
    <t>$\theta^f$</t>
  </si>
  <si>
    <t>theta^f</t>
  </si>
  <si>
    <t xml:space="preserve">theta_f </t>
  </si>
  <si>
    <t>Import sector</t>
  </si>
  <si>
    <t>$b$</t>
  </si>
  <si>
    <t>b</t>
  </si>
  <si>
    <t>Habits in consumption</t>
  </si>
  <si>
    <t>Habit persistence and investment adjustment costs</t>
  </si>
  <si>
    <t>Domestic block - estimated</t>
  </si>
  <si>
    <t>$b_h$</t>
  </si>
  <si>
    <t>bH</t>
  </si>
  <si>
    <t>Habits in housing capital</t>
  </si>
  <si>
    <t>$\Phi_h$</t>
  </si>
  <si>
    <t>phik_h</t>
  </si>
  <si>
    <t>Housing adjustment costs</t>
  </si>
  <si>
    <t>$\Phi_z$</t>
  </si>
  <si>
    <t>phik_z</t>
  </si>
  <si>
    <t>Resources adjustment cost</t>
  </si>
  <si>
    <t>$\rho_r$</t>
  </si>
  <si>
    <t>rho_r</t>
  </si>
  <si>
    <t>Interest rate smoothing in taylor rule</t>
  </si>
  <si>
    <t>Monetary policy and UIP</t>
  </si>
  <si>
    <t>$\phi_\pi$</t>
  </si>
  <si>
    <t>rho_pi</t>
  </si>
  <si>
    <t>Taylor rule inflation response</t>
  </si>
  <si>
    <t>$\phi_{dy}$</t>
  </si>
  <si>
    <t>rho_deltay</t>
  </si>
  <si>
    <t>Taylor rule GDP growth response</t>
  </si>
  <si>
    <t>$\Phi_\Psi$</t>
  </si>
  <si>
    <t>phitilde</t>
  </si>
  <si>
    <t>Exchange rate inertia in UIP</t>
  </si>
  <si>
    <t>$\kappa_{\pi_n}$</t>
  </si>
  <si>
    <t>slope_pi_n</t>
  </si>
  <si>
    <t>Non-tradable PC slope</t>
  </si>
  <si>
    <t>Sector Phillips curves</t>
  </si>
  <si>
    <t>$\kappa_{\pi_m}$</t>
  </si>
  <si>
    <t>slope_pi_m</t>
  </si>
  <si>
    <t>Other tradable PC slope</t>
  </si>
  <si>
    <t>$\kappa_{\pi_m^*}$</t>
  </si>
  <si>
    <t>slope_pi_m_star</t>
  </si>
  <si>
    <t>Exported tradables PC slope</t>
  </si>
  <si>
    <t>$\kappa_{\pi_h}$</t>
  </si>
  <si>
    <t>slope_pi_h</t>
  </si>
  <si>
    <t>Housing PC slope</t>
  </si>
  <si>
    <t>$\kappa_{\pi_f}$</t>
  </si>
  <si>
    <t>slope_pi_f</t>
  </si>
  <si>
    <t>Imports PC slope</t>
  </si>
  <si>
    <t>$\chi_n$</t>
  </si>
  <si>
    <t>chi_n</t>
  </si>
  <si>
    <t>Non-tradable price inflation</t>
  </si>
  <si>
    <t>$\chi_m$</t>
  </si>
  <si>
    <t>chi_m</t>
  </si>
  <si>
    <t>Other tradable price inflation</t>
  </si>
  <si>
    <t>$\chi_m^*$</t>
  </si>
  <si>
    <t>chi_m_star</t>
  </si>
  <si>
    <t>Exported tradables price indexation</t>
  </si>
  <si>
    <t>$\chi_h$</t>
  </si>
  <si>
    <t>chi_h</t>
  </si>
  <si>
    <t>Housing price indexation</t>
  </si>
  <si>
    <t>$\chi_f$</t>
  </si>
  <si>
    <t>chi_f</t>
  </si>
  <si>
    <t>Imports price indexation</t>
  </si>
  <si>
    <t>$\kappa_{w_n}$</t>
  </si>
  <si>
    <t>slope_pi_w_n</t>
  </si>
  <si>
    <t>Non-tradable wage PC slope</t>
  </si>
  <si>
    <t>Sector wage Phillips curves</t>
  </si>
  <si>
    <t>$\kappa_{w_m}$</t>
  </si>
  <si>
    <t>slope_pi_w_m</t>
  </si>
  <si>
    <t>Other tradable wage PC slope</t>
  </si>
  <si>
    <t>$\kappa_{w_z}$</t>
  </si>
  <si>
    <t>slope_pi_w_z</t>
  </si>
  <si>
    <t>Resources wage PC slope</t>
  </si>
  <si>
    <t>$\kappa_{w_h}$</t>
  </si>
  <si>
    <t>slope_pi_w_h</t>
  </si>
  <si>
    <t>Housing wage PC slope</t>
  </si>
  <si>
    <t>$\chi_{w_n}$</t>
  </si>
  <si>
    <t>chi_w_n</t>
  </si>
  <si>
    <t>Non-tradable wage indexation</t>
  </si>
  <si>
    <t>$\chi_{w_m}$</t>
  </si>
  <si>
    <t>chi_w_m</t>
  </si>
  <si>
    <t>Other tradable wage indexation</t>
  </si>
  <si>
    <t>$\chi_{w_z}$</t>
  </si>
  <si>
    <t>chi_w_z</t>
  </si>
  <si>
    <t>Resources wage indexation</t>
  </si>
  <si>
    <t>$\chi_{w_h}$</t>
  </si>
  <si>
    <t>chi_w_h</t>
  </si>
  <si>
    <t>Housing wage indexation</t>
  </si>
  <si>
    <t>Detailed Foreign</t>
  </si>
  <si>
    <t>hsd</t>
  </si>
  <si>
    <t>infl_obs_ye</t>
  </si>
  <si>
    <t>gdp_growth_ye</t>
  </si>
  <si>
    <t>All shocks</t>
  </si>
  <si>
    <t>Measurement error</t>
  </si>
  <si>
    <t>unemp1</t>
  </si>
  <si>
    <t>Unemployment Rate</t>
  </si>
  <si>
    <t>100*inve_ss/y_va_ss</t>
  </si>
  <si>
    <t>100*p_f_ss*y_f_ss/y_va_ss</t>
  </si>
  <si>
    <t>100*export_vals_ss/y_va_ss</t>
  </si>
  <si>
    <t>100*p_m_ss*y_x_m_ss/y_va_ss</t>
  </si>
  <si>
    <t>100*p_z_ss*z_x_ss/y_va_ss</t>
  </si>
  <si>
    <t>100*inve_h_ss/y_va_ss</t>
  </si>
  <si>
    <t>100*inve_z_ss/y_va_ss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</si>
</sst>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9"/>
      <color indexed="81"/>
      <name val="Tahoma"/>
      <family val="2"/>
    </font>
    <font>
      <b/>
      <sz val="9"/>
      <color indexed="81"/>
      <name val="Tahoma"/>
      <family val="2"/>
    </font>
    <font>
      <b/>
      <sz val="11"/>
      <name val="Aptos Narrow"/>
      <family val="2"/>
      <scheme val="minor"/>
    </font>
    <font>
      <b/>
      <sz val="11"/>
      <name val="Aptos Narrow"/>
      <family val="2"/>
    </font>
    <font>
      <sz val="11"/>
      <name val="Aptos Narrow"/>
      <family val="2"/>
      <scheme val="minor"/>
    </font>
    <font>
      <b/>
      <sz val="11"/>
      <color rgb="FF000000"/>
      <name val="Aptos Narrow"/>
      <family val="2"/>
      <scheme val="minor"/>
    </font>
    <font>
      <sz val="9"/>
      <color indexed="81"/>
      <name val="Tahoma"/>
      <charset val="1"/>
    </font>
  </fonts>
  <fills count="2">
    <fill>
      <patternFill patternType="none"/>
    </fill>
    <fill>
      <patternFill patternType="gray125"/>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bottom/>
      <diagonal/>
    </border>
    <border>
      <left/>
      <right style="thin">
        <color theme="9" tint="0.39997558519241921"/>
      </right>
      <top/>
      <bottom/>
      <diagonal/>
    </border>
  </borders>
  <cellStyleXfs count="1">
    <xf numFmtId="0" fontId="0" fillId="0" borderId="0"/>
  </cellStyleXfs>
  <cellXfs count="14">
    <xf numFmtId="0" fontId="0" fillId="0" borderId="0" xfId="0"/>
    <xf numFmtId="0" fontId="0" fillId="0" borderId="0" xfId="0" applyFont="1" applyAlignment="1">
      <alignment horizontal="center"/>
    </xf>
    <xf numFmtId="0" fontId="3" fillId="0" borderId="1" xfId="0" applyNumberFormat="1" applyFont="1" applyFill="1" applyBorder="1"/>
    <xf numFmtId="0" fontId="3" fillId="0" borderId="2" xfId="0" applyNumberFormat="1" applyFont="1" applyFill="1" applyBorder="1"/>
    <xf numFmtId="0" fontId="3" fillId="0" borderId="0" xfId="0" applyFont="1" applyFill="1"/>
    <xf numFmtId="0" fontId="3" fillId="0" borderId="0" xfId="0" applyFont="1" applyFill="1" applyBorder="1"/>
    <xf numFmtId="0" fontId="4" fillId="0" borderId="0" xfId="0" applyFont="1" applyFill="1"/>
    <xf numFmtId="0" fontId="5" fillId="0" borderId="1" xfId="0" applyNumberFormat="1" applyFont="1" applyFill="1" applyBorder="1"/>
    <xf numFmtId="0" fontId="5" fillId="0" borderId="2" xfId="0" applyNumberFormat="1" applyFont="1" applyFill="1" applyBorder="1"/>
    <xf numFmtId="0" fontId="5" fillId="0" borderId="0" xfId="0" applyFont="1" applyFill="1"/>
    <xf numFmtId="0" fontId="5" fillId="0" borderId="3" xfId="0" applyNumberFormat="1" applyFont="1" applyFill="1" applyBorder="1"/>
    <xf numFmtId="0" fontId="5" fillId="0" borderId="4" xfId="0" applyNumberFormat="1" applyFont="1" applyFill="1" applyBorder="1"/>
    <xf numFmtId="0" fontId="5" fillId="0" borderId="0" xfId="0" applyNumberFormat="1" applyFont="1" applyFill="1" applyBorder="1"/>
    <xf numFmtId="0" fontId="6" fillId="0" borderId="0" xfId="0" applyFont="1"/>
  </cellXfs>
  <cellStyles count="1">
    <cellStyle name="Normal" xfId="0" builtinId="0"/>
  </cellStyles>
  <dxfs count="11">
    <dxf>
      <font>
        <strike val="0"/>
        <outline val="0"/>
        <shadow val="0"/>
        <u val="none"/>
        <vertAlign val="baseline"/>
        <sz val="11"/>
        <color auto="1"/>
        <name val="Aptos Narrow"/>
        <family val="2"/>
      </font>
      <numFmt numFmtId="0" formatCode="General"/>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strike val="0"/>
        <outline val="0"/>
        <shadow val="0"/>
        <u val="none"/>
        <vertAlign val="baseline"/>
        <sz val="11"/>
        <color auto="1"/>
        <name val="Aptos Narrow"/>
        <family val="2"/>
      </font>
      <fill>
        <patternFill patternType="none">
          <fgColor indexed="64"/>
          <bgColor indexed="65"/>
        </patternFill>
      </fill>
    </dxf>
    <dxf>
      <font>
        <b/>
        <i val="0"/>
        <strike val="0"/>
        <condense val="0"/>
        <extend val="0"/>
        <outline val="0"/>
        <shadow val="0"/>
        <u val="none"/>
        <vertAlign val="baseline"/>
        <sz val="11"/>
        <color auto="1"/>
        <name val="Aptos Narrow"/>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ULLIVAN, Hamish" id="{D1195FD2-A456-4270-B904-C00621D3CFCA}" userId="S::141629@rba.gov.au::2537776c-9631-401e-9609-98b2ba9117a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C36B28-FAD5-47BD-B449-EFBCA4A178AF}" name="Table2" displayName="Table2" ref="A1:I60" totalsRowShown="0" headerRowDxfId="10" dataDxfId="9">
  <autoFilter ref="A1:I60" xr:uid="{FAC36B28-FAD5-47BD-B449-EFBCA4A178AF}"/>
  <tableColumns count="9">
    <tableColumn id="1" xr3:uid="{79021FA2-B1CA-4E38-A383-DF8C477AFA08}" name="shock" dataDxfId="8"/>
    <tableColumn id="2" xr3:uid="{75C43316-8D59-46C6-91C1-8F97041BE154}" name="description" dataDxfId="7"/>
    <tableColumn id="3" xr3:uid="{2452B007-9A08-4EC9-AC73-0150AB09DD61}" name="is_measurement_error" dataDxfId="6"/>
    <tableColumn id="4" xr3:uid="{B1B7AEA8-87B4-4C04-B433-87E92B76FC2A}" name="Demand/Supply/Foreign" dataDxfId="5"/>
    <tableColumn id="5" xr3:uid="{3D25F7CC-0875-4576-9D17-E09F85E294D8}" name="Detailed Supply" dataDxfId="4"/>
    <tableColumn id="6" xr3:uid="{73C6AF3C-91DA-4121-B3DD-539378C1B5D6}" name="Detailed Demand" dataDxfId="3"/>
    <tableColumn id="7" xr3:uid="{C7744F09-73BA-4161-BEB5-D7C055C045A2}" name="Measurement Errors" dataDxfId="2">
      <calculatedColumnFormula>B2</calculatedColumnFormula>
    </tableColumn>
    <tableColumn id="8" xr3:uid="{D0F0758E-CB2E-4091-A640-0D7AC30AE8C6}" name="All shocks" dataDxfId="1"/>
    <tableColumn id="9" xr3:uid="{2ACBB4C7-3E98-4D46-9234-4E8E93B5BC7F}" name="Detailed Foreign" dataDxfId="0">
      <calculatedColumnFormula>B2</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5-10-29T03:48:29.25" personId="{D1195FD2-A456-4270-B904-C00621D3CFCA}" id="{78DAD05A-E20F-4EA4-8EAE-96CD49D15FAD}">
    <text>This formula will be calculated with the latest parameter values and then used to rescale the value.</text>
  </threadedComment>
  <threadedComment ref="G1" dT="2025-12-17T01:11:38.39" personId="{D1195FD2-A456-4270-B904-C00621D3CFCA}" id="{1ED72B84-CA70-41DD-AF18-6F4D3527AA9E}">
    <text>Which one is the baseline version of the variable; i.e. when trying to find the display name which matches to the dynare name, which one should be returned? 
Currently used because the IRF code assumes one display name for each dynare variable name.</text>
  </threadedComment>
  <threadedComment ref="H1" dT="2026-02-27T04:18:35.12" personId="{D1195FD2-A456-4270-B904-C00621D3CFCA}" id="{F5A9859C-007C-441C-8DDC-A92AE1B5C32B}">
    <text>Series which shouldn’t be displayed in alt paths. Generally, this will be series which are not in the input spreadsheet.</text>
  </threadedComment>
  <threadedComment ref="F20" dT="2026-07-17T01:00:13.59" personId="{D1195FD2-A456-4270-B904-C00621D3CFCA}" id="{4C826EFA-9B45-4C74-A8D5-8A63B73CB447}">
    <text>Not sure this is correct; inconsistent with Finn’s original code which applied no scaling for some reason</text>
  </threadedComment>
  <threadedComment ref="F21" dT="2026-07-17T01:00:20.48" personId="{D1195FD2-A456-4270-B904-C00621D3CFCA}" id="{0E12D5EF-3E3B-4BAE-92E0-FB66F03F8D79}">
    <text xml:space="preserve">Not sure this is correct; inconsistent with Finn’s original code which applied no scaling for some reason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8D31-19C7-42D0-9017-274D7AC699E0}">
  <dimension ref="A1:I52"/>
  <sheetViews>
    <sheetView tabSelected="1" zoomScale="61" zoomScaleNormal="115" workbookViewId="0">
      <selection activeCell="E27" sqref="E27"/>
    </sheetView>
  </sheetViews>
  <sheetFormatPr defaultRowHeight="14.5" x14ac:dyDescent="0.35"/>
  <cols>
    <col min="1" max="1" width="16.90625" bestFit="1" customWidth="1"/>
    <col min="2" max="2" width="43.36328125" bestFit="1" customWidth="1"/>
    <col min="3" max="3" width="17.36328125" bestFit="1" customWidth="1"/>
    <col min="4" max="5" width="17.36328125" customWidth="1"/>
    <col min="6" max="6" width="22.1796875" bestFit="1" customWidth="1"/>
  </cols>
  <sheetData>
    <row r="1" spans="1:9" x14ac:dyDescent="0.35">
      <c r="A1" t="s">
        <v>0</v>
      </c>
      <c r="B1" t="s">
        <v>1</v>
      </c>
      <c r="C1" t="s">
        <v>2</v>
      </c>
      <c r="D1" t="s">
        <v>90</v>
      </c>
      <c r="E1" t="s">
        <v>91</v>
      </c>
      <c r="F1" t="s">
        <v>3</v>
      </c>
      <c r="G1" t="s">
        <v>53</v>
      </c>
      <c r="H1" t="s">
        <v>54</v>
      </c>
      <c r="I1" t="s">
        <v>515</v>
      </c>
    </row>
    <row r="2" spans="1:9" x14ac:dyDescent="0.35">
      <c r="A2" t="s">
        <v>4</v>
      </c>
      <c r="B2" t="s">
        <v>18</v>
      </c>
      <c r="C2" t="s">
        <v>24</v>
      </c>
      <c r="D2" t="s">
        <v>64</v>
      </c>
      <c r="E2" t="s">
        <v>64</v>
      </c>
      <c r="G2" t="b">
        <v>1</v>
      </c>
      <c r="H2" t="b">
        <v>0</v>
      </c>
      <c r="I2" t="b">
        <v>1</v>
      </c>
    </row>
    <row r="3" spans="1:9" x14ac:dyDescent="0.35">
      <c r="A3" t="s">
        <v>5</v>
      </c>
      <c r="B3" t="s">
        <v>19</v>
      </c>
      <c r="C3" t="s">
        <v>41</v>
      </c>
      <c r="D3" t="s">
        <v>64</v>
      </c>
      <c r="F3" t="s">
        <v>26</v>
      </c>
      <c r="G3" t="b">
        <v>1</v>
      </c>
      <c r="H3" t="b">
        <v>1</v>
      </c>
      <c r="I3" t="b">
        <v>1</v>
      </c>
    </row>
    <row r="4" spans="1:9" x14ac:dyDescent="0.35">
      <c r="A4" t="s">
        <v>6</v>
      </c>
      <c r="B4" t="s">
        <v>20</v>
      </c>
      <c r="C4" t="s">
        <v>24</v>
      </c>
      <c r="D4" t="s">
        <v>64</v>
      </c>
      <c r="E4" t="s">
        <v>88</v>
      </c>
      <c r="G4" t="b">
        <v>1</v>
      </c>
      <c r="H4" t="b">
        <v>1</v>
      </c>
      <c r="I4" t="b">
        <v>1</v>
      </c>
    </row>
    <row r="5" spans="1:9" x14ac:dyDescent="0.35">
      <c r="A5" t="s">
        <v>7</v>
      </c>
      <c r="B5" t="s">
        <v>30</v>
      </c>
      <c r="C5" t="s">
        <v>89</v>
      </c>
      <c r="D5" t="s">
        <v>64</v>
      </c>
      <c r="E5" t="s">
        <v>64</v>
      </c>
      <c r="G5" t="b">
        <v>1</v>
      </c>
      <c r="H5" t="b">
        <v>1</v>
      </c>
      <c r="I5" t="b">
        <v>1</v>
      </c>
    </row>
    <row r="6" spans="1:9" x14ac:dyDescent="0.35">
      <c r="A6" t="s">
        <v>8</v>
      </c>
      <c r="B6" t="s">
        <v>29</v>
      </c>
      <c r="C6" t="s">
        <v>24</v>
      </c>
      <c r="D6" t="s">
        <v>64</v>
      </c>
      <c r="G6" t="b">
        <v>1</v>
      </c>
      <c r="H6" t="b">
        <v>1</v>
      </c>
      <c r="I6" t="b">
        <v>1</v>
      </c>
    </row>
    <row r="7" spans="1:9" x14ac:dyDescent="0.35">
      <c r="A7" t="s">
        <v>9</v>
      </c>
      <c r="B7" t="s">
        <v>28</v>
      </c>
      <c r="C7" t="s">
        <v>59</v>
      </c>
      <c r="D7" t="s">
        <v>92</v>
      </c>
      <c r="E7" t="s">
        <v>88</v>
      </c>
      <c r="F7">
        <v>100</v>
      </c>
      <c r="G7" t="b">
        <v>1</v>
      </c>
      <c r="H7" t="b">
        <v>0</v>
      </c>
      <c r="I7" t="b">
        <v>1</v>
      </c>
    </row>
    <row r="8" spans="1:9" x14ac:dyDescent="0.35">
      <c r="A8" t="s">
        <v>36</v>
      </c>
      <c r="B8" t="s">
        <v>37</v>
      </c>
      <c r="C8" t="s">
        <v>24</v>
      </c>
      <c r="D8" t="s">
        <v>64</v>
      </c>
      <c r="G8" t="b">
        <v>1</v>
      </c>
      <c r="H8" t="b">
        <v>1</v>
      </c>
      <c r="I8" t="b">
        <v>1</v>
      </c>
    </row>
    <row r="9" spans="1:9" x14ac:dyDescent="0.35">
      <c r="A9" t="s">
        <v>39</v>
      </c>
      <c r="B9" t="s">
        <v>38</v>
      </c>
      <c r="C9" t="s">
        <v>24</v>
      </c>
      <c r="D9" t="s">
        <v>64</v>
      </c>
      <c r="G9" t="b">
        <v>1</v>
      </c>
      <c r="H9" t="b">
        <v>1</v>
      </c>
      <c r="I9" t="b">
        <v>1</v>
      </c>
    </row>
    <row r="10" spans="1:9" x14ac:dyDescent="0.35">
      <c r="A10" s="1" t="s">
        <v>40</v>
      </c>
      <c r="B10" t="s">
        <v>52</v>
      </c>
      <c r="C10" t="s">
        <v>41</v>
      </c>
      <c r="D10" t="s">
        <v>64</v>
      </c>
      <c r="G10" t="b">
        <v>1</v>
      </c>
      <c r="H10" t="b">
        <v>1</v>
      </c>
      <c r="I10" t="b">
        <v>1</v>
      </c>
    </row>
    <row r="11" spans="1:9" x14ac:dyDescent="0.35">
      <c r="A11" t="s">
        <v>42</v>
      </c>
      <c r="B11" t="s">
        <v>51</v>
      </c>
      <c r="C11" t="s">
        <v>41</v>
      </c>
      <c r="D11" t="s">
        <v>64</v>
      </c>
      <c r="G11" t="b">
        <v>1</v>
      </c>
      <c r="H11" t="b">
        <v>1</v>
      </c>
      <c r="I11" t="b">
        <v>1</v>
      </c>
    </row>
    <row r="12" spans="1:9" x14ac:dyDescent="0.35">
      <c r="A12" t="s">
        <v>43</v>
      </c>
      <c r="B12" t="s">
        <v>50</v>
      </c>
      <c r="C12" t="s">
        <v>41</v>
      </c>
      <c r="D12" t="s">
        <v>64</v>
      </c>
      <c r="G12" t="b">
        <v>1</v>
      </c>
      <c r="H12" t="b">
        <v>1</v>
      </c>
      <c r="I12" t="b">
        <v>1</v>
      </c>
    </row>
    <row r="13" spans="1:9" x14ac:dyDescent="0.35">
      <c r="A13" t="s">
        <v>44</v>
      </c>
      <c r="B13" t="s">
        <v>49</v>
      </c>
      <c r="C13" t="s">
        <v>41</v>
      </c>
      <c r="D13" t="s">
        <v>64</v>
      </c>
      <c r="G13" t="b">
        <v>1</v>
      </c>
      <c r="H13" t="b">
        <v>1</v>
      </c>
      <c r="I13" t="b">
        <v>1</v>
      </c>
    </row>
    <row r="14" spans="1:9" x14ac:dyDescent="0.35">
      <c r="A14" t="s">
        <v>10</v>
      </c>
      <c r="B14" t="s">
        <v>21</v>
      </c>
      <c r="C14" t="s">
        <v>25</v>
      </c>
      <c r="D14" t="s">
        <v>64</v>
      </c>
      <c r="F14" t="s">
        <v>27</v>
      </c>
      <c r="G14" t="b">
        <v>1</v>
      </c>
      <c r="H14" t="b">
        <v>0</v>
      </c>
      <c r="I14" t="b">
        <v>1</v>
      </c>
    </row>
    <row r="15" spans="1:9" x14ac:dyDescent="0.35">
      <c r="A15" t="s">
        <v>11</v>
      </c>
      <c r="B15" t="s">
        <v>22</v>
      </c>
      <c r="C15" t="s">
        <v>25</v>
      </c>
      <c r="D15" t="s">
        <v>64</v>
      </c>
      <c r="F15" t="s">
        <v>522</v>
      </c>
      <c r="G15" t="b">
        <v>1</v>
      </c>
      <c r="H15" t="b">
        <v>0</v>
      </c>
      <c r="I15" t="b">
        <v>1</v>
      </c>
    </row>
    <row r="16" spans="1:9" x14ac:dyDescent="0.35">
      <c r="A16" t="s">
        <v>12</v>
      </c>
      <c r="B16" t="s">
        <v>23</v>
      </c>
      <c r="C16" t="s">
        <v>25</v>
      </c>
      <c r="D16" t="s">
        <v>64</v>
      </c>
      <c r="F16" t="s">
        <v>523</v>
      </c>
      <c r="G16" t="b">
        <v>1</v>
      </c>
      <c r="H16" t="b">
        <v>0</v>
      </c>
      <c r="I16" t="b">
        <v>1</v>
      </c>
    </row>
    <row r="17" spans="1:9" x14ac:dyDescent="0.35">
      <c r="A17" t="s">
        <v>13</v>
      </c>
      <c r="B17" t="s">
        <v>32</v>
      </c>
      <c r="C17" t="s">
        <v>25</v>
      </c>
      <c r="D17" t="s">
        <v>64</v>
      </c>
      <c r="F17" t="s">
        <v>524</v>
      </c>
      <c r="G17" t="b">
        <v>1</v>
      </c>
      <c r="H17" t="b">
        <v>0</v>
      </c>
      <c r="I17" t="b">
        <v>1</v>
      </c>
    </row>
    <row r="18" spans="1:9" x14ac:dyDescent="0.35">
      <c r="A18" t="s">
        <v>14</v>
      </c>
      <c r="B18" t="s">
        <v>31</v>
      </c>
      <c r="C18" t="s">
        <v>25</v>
      </c>
      <c r="D18" t="s">
        <v>64</v>
      </c>
      <c r="F18" t="s">
        <v>525</v>
      </c>
      <c r="G18" t="b">
        <v>1</v>
      </c>
      <c r="H18" t="b">
        <v>0</v>
      </c>
      <c r="I18" t="b">
        <v>1</v>
      </c>
    </row>
    <row r="19" spans="1:9" x14ac:dyDescent="0.35">
      <c r="A19" t="s">
        <v>15</v>
      </c>
      <c r="B19" t="s">
        <v>33</v>
      </c>
      <c r="C19" t="s">
        <v>25</v>
      </c>
      <c r="D19" t="s">
        <v>64</v>
      </c>
      <c r="F19" t="s">
        <v>526</v>
      </c>
      <c r="G19" t="b">
        <v>1</v>
      </c>
      <c r="H19" t="b">
        <v>0</v>
      </c>
      <c r="I19" t="b">
        <v>1</v>
      </c>
    </row>
    <row r="20" spans="1:9" x14ac:dyDescent="0.35">
      <c r="A20" t="s">
        <v>16</v>
      </c>
      <c r="B20" t="s">
        <v>34</v>
      </c>
      <c r="C20" t="s">
        <v>25</v>
      </c>
      <c r="D20" t="s">
        <v>64</v>
      </c>
      <c r="F20" t="s">
        <v>527</v>
      </c>
      <c r="G20" t="b">
        <v>1</v>
      </c>
      <c r="H20" t="b">
        <v>0</v>
      </c>
      <c r="I20" t="b">
        <v>1</v>
      </c>
    </row>
    <row r="21" spans="1:9" x14ac:dyDescent="0.35">
      <c r="A21" t="s">
        <v>17</v>
      </c>
      <c r="B21" t="s">
        <v>35</v>
      </c>
      <c r="C21" t="s">
        <v>25</v>
      </c>
      <c r="D21" t="s">
        <v>64</v>
      </c>
      <c r="F21" t="s">
        <v>528</v>
      </c>
      <c r="G21" t="b">
        <v>1</v>
      </c>
      <c r="H21" t="b">
        <v>0</v>
      </c>
      <c r="I21" t="b">
        <v>1</v>
      </c>
    </row>
    <row r="22" spans="1:9" x14ac:dyDescent="0.35">
      <c r="A22" t="s">
        <v>55</v>
      </c>
      <c r="B22" t="s">
        <v>56</v>
      </c>
      <c r="C22" t="s">
        <v>59</v>
      </c>
      <c r="D22" t="s">
        <v>92</v>
      </c>
      <c r="G22" t="b">
        <v>1</v>
      </c>
      <c r="H22" t="b">
        <v>0</v>
      </c>
      <c r="I22" t="b">
        <v>1</v>
      </c>
    </row>
    <row r="23" spans="1:9" x14ac:dyDescent="0.35">
      <c r="A23" t="s">
        <v>57</v>
      </c>
      <c r="B23" t="s">
        <v>58</v>
      </c>
      <c r="C23" t="s">
        <v>59</v>
      </c>
      <c r="D23" t="s">
        <v>92</v>
      </c>
      <c r="F23">
        <v>100</v>
      </c>
      <c r="G23" t="b">
        <v>1</v>
      </c>
      <c r="H23" t="b">
        <v>0</v>
      </c>
      <c r="I23" t="b">
        <v>1</v>
      </c>
    </row>
    <row r="24" spans="1:9" x14ac:dyDescent="0.35">
      <c r="A24" t="s">
        <v>60</v>
      </c>
      <c r="B24" t="s">
        <v>62</v>
      </c>
      <c r="D24" t="s">
        <v>92</v>
      </c>
      <c r="F24">
        <v>100</v>
      </c>
      <c r="G24" t="b">
        <v>1</v>
      </c>
      <c r="H24" t="b">
        <v>0</v>
      </c>
      <c r="I24" t="b">
        <v>1</v>
      </c>
    </row>
    <row r="25" spans="1:9" x14ac:dyDescent="0.35">
      <c r="A25" t="s">
        <v>61</v>
      </c>
      <c r="B25" t="s">
        <v>63</v>
      </c>
      <c r="D25" t="s">
        <v>92</v>
      </c>
      <c r="F25">
        <v>100</v>
      </c>
      <c r="G25" t="b">
        <v>1</v>
      </c>
      <c r="H25" t="b">
        <v>0</v>
      </c>
      <c r="I25" t="b">
        <v>1</v>
      </c>
    </row>
    <row r="26" spans="1:9" x14ac:dyDescent="0.35">
      <c r="A26" t="s">
        <v>65</v>
      </c>
      <c r="B26" t="s">
        <v>72</v>
      </c>
      <c r="C26" t="s">
        <v>59</v>
      </c>
      <c r="D26" t="s">
        <v>92</v>
      </c>
      <c r="F26">
        <v>-100</v>
      </c>
      <c r="G26" t="b">
        <v>1</v>
      </c>
      <c r="H26" t="b">
        <v>0</v>
      </c>
      <c r="I26" t="b">
        <v>1</v>
      </c>
    </row>
    <row r="27" spans="1:9" x14ac:dyDescent="0.35">
      <c r="A27" t="s">
        <v>66</v>
      </c>
      <c r="B27" t="s">
        <v>71</v>
      </c>
      <c r="C27" t="s">
        <v>59</v>
      </c>
      <c r="D27" t="s">
        <v>92</v>
      </c>
      <c r="F27">
        <v>-100</v>
      </c>
      <c r="G27" t="b">
        <v>1</v>
      </c>
      <c r="H27" t="b">
        <v>0</v>
      </c>
      <c r="I27" t="b">
        <v>1</v>
      </c>
    </row>
    <row r="28" spans="1:9" x14ac:dyDescent="0.35">
      <c r="A28" t="s">
        <v>67</v>
      </c>
      <c r="B28" t="s">
        <v>68</v>
      </c>
      <c r="C28" t="s">
        <v>59</v>
      </c>
      <c r="D28" t="s">
        <v>92</v>
      </c>
      <c r="F28">
        <v>-100</v>
      </c>
      <c r="G28" t="b">
        <v>1</v>
      </c>
      <c r="H28" t="b">
        <v>0</v>
      </c>
      <c r="I28" t="b">
        <v>1</v>
      </c>
    </row>
    <row r="29" spans="1:9" x14ac:dyDescent="0.35">
      <c r="A29" t="s">
        <v>69</v>
      </c>
      <c r="B29" t="s">
        <v>70</v>
      </c>
      <c r="C29" t="s">
        <v>59</v>
      </c>
      <c r="D29" t="s">
        <v>92</v>
      </c>
      <c r="F29">
        <v>-100</v>
      </c>
      <c r="G29" t="b">
        <v>1</v>
      </c>
      <c r="H29" t="b">
        <v>0</v>
      </c>
      <c r="I29" t="b">
        <v>1</v>
      </c>
    </row>
    <row r="30" spans="1:9" x14ac:dyDescent="0.35">
      <c r="A30" t="s">
        <v>73</v>
      </c>
      <c r="B30" t="s">
        <v>74</v>
      </c>
      <c r="C30" t="s">
        <v>24</v>
      </c>
      <c r="D30" t="s">
        <v>64</v>
      </c>
      <c r="E30" t="s">
        <v>64</v>
      </c>
      <c r="F30">
        <v>100</v>
      </c>
      <c r="G30" t="b">
        <v>1</v>
      </c>
      <c r="H30" t="b">
        <v>0</v>
      </c>
      <c r="I30" t="b">
        <v>1</v>
      </c>
    </row>
    <row r="31" spans="1:9" x14ac:dyDescent="0.35">
      <c r="A31" t="s">
        <v>75</v>
      </c>
      <c r="B31" t="s">
        <v>76</v>
      </c>
      <c r="C31" t="s">
        <v>24</v>
      </c>
      <c r="D31" t="s">
        <v>64</v>
      </c>
      <c r="E31" t="s">
        <v>64</v>
      </c>
      <c r="F31">
        <v>100</v>
      </c>
      <c r="G31" t="b">
        <v>1</v>
      </c>
      <c r="H31" t="b">
        <v>0</v>
      </c>
      <c r="I31" t="b">
        <v>1</v>
      </c>
    </row>
    <row r="32" spans="1:9" x14ac:dyDescent="0.35">
      <c r="A32" t="s">
        <v>77</v>
      </c>
      <c r="B32" t="s">
        <v>78</v>
      </c>
      <c r="C32" t="s">
        <v>79</v>
      </c>
      <c r="D32" t="s">
        <v>64</v>
      </c>
      <c r="E32" t="s">
        <v>79</v>
      </c>
      <c r="F32">
        <v>100</v>
      </c>
      <c r="G32" t="b">
        <v>1</v>
      </c>
      <c r="H32" t="b">
        <v>0</v>
      </c>
      <c r="I32" t="b">
        <v>1</v>
      </c>
    </row>
    <row r="33" spans="1:9" x14ac:dyDescent="0.35">
      <c r="A33" t="s">
        <v>81</v>
      </c>
      <c r="B33" t="s">
        <v>80</v>
      </c>
      <c r="C33" t="s">
        <v>24</v>
      </c>
      <c r="D33" t="s">
        <v>64</v>
      </c>
      <c r="E33" t="s">
        <v>64</v>
      </c>
      <c r="F33">
        <v>100</v>
      </c>
      <c r="G33" t="b">
        <v>1</v>
      </c>
      <c r="H33" t="b">
        <v>0</v>
      </c>
      <c r="I33" t="b">
        <v>1</v>
      </c>
    </row>
    <row r="34" spans="1:9" x14ac:dyDescent="0.35">
      <c r="A34" t="s">
        <v>84</v>
      </c>
      <c r="B34" t="s">
        <v>83</v>
      </c>
      <c r="C34" t="s">
        <v>25</v>
      </c>
      <c r="D34" t="s">
        <v>64</v>
      </c>
      <c r="F34" t="s">
        <v>86</v>
      </c>
      <c r="G34" t="b">
        <v>1</v>
      </c>
      <c r="H34" t="b">
        <v>0</v>
      </c>
      <c r="I34" t="b">
        <v>1</v>
      </c>
    </row>
    <row r="35" spans="1:9" x14ac:dyDescent="0.35">
      <c r="A35" t="s">
        <v>85</v>
      </c>
      <c r="B35" t="s">
        <v>82</v>
      </c>
      <c r="C35" t="s">
        <v>25</v>
      </c>
      <c r="D35" t="s">
        <v>64</v>
      </c>
      <c r="F35" t="s">
        <v>87</v>
      </c>
      <c r="G35" t="b">
        <v>1</v>
      </c>
      <c r="H35" t="b">
        <v>0</v>
      </c>
      <c r="I35" t="b">
        <v>1</v>
      </c>
    </row>
    <row r="36" spans="1:9" x14ac:dyDescent="0.35">
      <c r="A36" t="s">
        <v>93</v>
      </c>
      <c r="B36" t="s">
        <v>94</v>
      </c>
      <c r="G36" t="b">
        <v>0</v>
      </c>
      <c r="H36" t="b">
        <v>0</v>
      </c>
      <c r="I36" t="b">
        <v>1</v>
      </c>
    </row>
    <row r="37" spans="1:9" x14ac:dyDescent="0.35">
      <c r="A37" t="s">
        <v>95</v>
      </c>
      <c r="B37" t="s">
        <v>96</v>
      </c>
      <c r="G37" t="b">
        <v>0</v>
      </c>
      <c r="H37" t="b">
        <v>0</v>
      </c>
      <c r="I37" t="b">
        <v>1</v>
      </c>
    </row>
    <row r="38" spans="1:9" x14ac:dyDescent="0.35">
      <c r="A38" t="s">
        <v>97</v>
      </c>
      <c r="B38" t="s">
        <v>98</v>
      </c>
      <c r="G38" t="b">
        <v>0</v>
      </c>
      <c r="H38" t="b">
        <v>0</v>
      </c>
      <c r="I38" t="b">
        <v>1</v>
      </c>
    </row>
    <row r="39" spans="1:9" x14ac:dyDescent="0.35">
      <c r="A39" t="s">
        <v>99</v>
      </c>
      <c r="B39" t="s">
        <v>100</v>
      </c>
      <c r="G39" t="b">
        <v>0</v>
      </c>
      <c r="H39" t="b">
        <v>0</v>
      </c>
      <c r="I39" t="b">
        <v>1</v>
      </c>
    </row>
    <row r="40" spans="1:9" x14ac:dyDescent="0.35">
      <c r="A40" t="s">
        <v>101</v>
      </c>
      <c r="B40" t="s">
        <v>102</v>
      </c>
      <c r="G40" t="b">
        <v>0</v>
      </c>
      <c r="H40" t="b">
        <v>0</v>
      </c>
      <c r="I40" t="b">
        <v>1</v>
      </c>
    </row>
    <row r="41" spans="1:9" x14ac:dyDescent="0.35">
      <c r="A41" t="s">
        <v>103</v>
      </c>
      <c r="B41" t="s">
        <v>105</v>
      </c>
      <c r="D41" t="s">
        <v>64</v>
      </c>
      <c r="E41" t="s">
        <v>88</v>
      </c>
      <c r="G41" t="b">
        <v>1</v>
      </c>
      <c r="H41" t="b">
        <v>0</v>
      </c>
      <c r="I41" t="b">
        <v>1</v>
      </c>
    </row>
    <row r="42" spans="1:9" x14ac:dyDescent="0.35">
      <c r="A42" t="s">
        <v>104</v>
      </c>
      <c r="B42" t="s">
        <v>118</v>
      </c>
      <c r="D42" t="s">
        <v>64</v>
      </c>
      <c r="E42" t="s">
        <v>88</v>
      </c>
      <c r="G42" t="b">
        <v>1</v>
      </c>
      <c r="H42" t="b">
        <v>0</v>
      </c>
      <c r="I42" t="b">
        <v>1</v>
      </c>
    </row>
    <row r="43" spans="1:9" x14ac:dyDescent="0.35">
      <c r="A43" t="s">
        <v>113</v>
      </c>
      <c r="B43" t="s">
        <v>119</v>
      </c>
      <c r="D43" t="s">
        <v>64</v>
      </c>
      <c r="E43" t="s">
        <v>88</v>
      </c>
      <c r="G43" t="b">
        <v>1</v>
      </c>
      <c r="H43" t="b">
        <v>0</v>
      </c>
      <c r="I43" t="b">
        <v>1</v>
      </c>
    </row>
    <row r="44" spans="1:9" x14ac:dyDescent="0.35">
      <c r="A44" t="s">
        <v>108</v>
      </c>
      <c r="B44" t="s">
        <v>120</v>
      </c>
      <c r="D44" t="s">
        <v>64</v>
      </c>
      <c r="E44" t="s">
        <v>88</v>
      </c>
      <c r="G44" t="b">
        <v>1</v>
      </c>
      <c r="H44" t="b">
        <v>0</v>
      </c>
      <c r="I44" t="b">
        <v>1</v>
      </c>
    </row>
    <row r="45" spans="1:9" x14ac:dyDescent="0.35">
      <c r="A45" t="s">
        <v>106</v>
      </c>
      <c r="B45" t="s">
        <v>107</v>
      </c>
      <c r="G45" t="b">
        <v>0</v>
      </c>
      <c r="H45" t="b">
        <v>0</v>
      </c>
      <c r="I45" t="b">
        <v>1</v>
      </c>
    </row>
    <row r="46" spans="1:9" x14ac:dyDescent="0.35">
      <c r="A46" t="s">
        <v>109</v>
      </c>
      <c r="B46" t="s">
        <v>115</v>
      </c>
      <c r="G46" t="b">
        <v>0</v>
      </c>
      <c r="H46" t="b">
        <v>0</v>
      </c>
      <c r="I46" t="b">
        <v>1</v>
      </c>
    </row>
    <row r="47" spans="1:9" x14ac:dyDescent="0.35">
      <c r="A47" t="s">
        <v>110</v>
      </c>
      <c r="B47" t="s">
        <v>114</v>
      </c>
      <c r="G47" t="b">
        <v>0</v>
      </c>
      <c r="H47" t="b">
        <v>0</v>
      </c>
      <c r="I47" t="b">
        <v>1</v>
      </c>
    </row>
    <row r="48" spans="1:9" x14ac:dyDescent="0.35">
      <c r="A48" t="s">
        <v>111</v>
      </c>
      <c r="B48" t="s">
        <v>116</v>
      </c>
      <c r="G48" t="b">
        <v>0</v>
      </c>
      <c r="H48" t="b">
        <v>0</v>
      </c>
      <c r="I48" t="b">
        <v>1</v>
      </c>
    </row>
    <row r="49" spans="1:9" x14ac:dyDescent="0.35">
      <c r="A49" t="s">
        <v>112</v>
      </c>
      <c r="B49" t="s">
        <v>117</v>
      </c>
      <c r="G49" t="b">
        <v>0</v>
      </c>
      <c r="H49" t="b">
        <v>0</v>
      </c>
      <c r="I49" t="b">
        <v>1</v>
      </c>
    </row>
    <row r="50" spans="1:9" x14ac:dyDescent="0.35">
      <c r="A50" t="s">
        <v>516</v>
      </c>
      <c r="B50" t="s">
        <v>46</v>
      </c>
      <c r="C50" t="s">
        <v>45</v>
      </c>
      <c r="D50" t="s">
        <v>64</v>
      </c>
      <c r="E50" t="s">
        <v>88</v>
      </c>
      <c r="G50" t="b">
        <v>1</v>
      </c>
      <c r="H50" t="b">
        <v>0</v>
      </c>
      <c r="I50" t="b">
        <v>1</v>
      </c>
    </row>
    <row r="51" spans="1:9" x14ac:dyDescent="0.35">
      <c r="A51" t="s">
        <v>517</v>
      </c>
      <c r="B51" t="s">
        <v>48</v>
      </c>
      <c r="C51" t="s">
        <v>45</v>
      </c>
      <c r="D51" t="s">
        <v>64</v>
      </c>
      <c r="E51" t="s">
        <v>88</v>
      </c>
      <c r="G51" t="b">
        <v>1</v>
      </c>
      <c r="H51" t="b">
        <v>0</v>
      </c>
      <c r="I51" t="b">
        <v>1</v>
      </c>
    </row>
    <row r="52" spans="1:9" x14ac:dyDescent="0.35">
      <c r="A52" t="s">
        <v>520</v>
      </c>
      <c r="B52" t="s">
        <v>521</v>
      </c>
      <c r="C52" t="s">
        <v>24</v>
      </c>
      <c r="D52" t="s">
        <v>64</v>
      </c>
      <c r="F52">
        <v>100</v>
      </c>
      <c r="G52" t="b">
        <v>1</v>
      </c>
      <c r="H52" t="b">
        <v>1</v>
      </c>
      <c r="I52" t="b">
        <v>1</v>
      </c>
    </row>
  </sheetData>
  <pageMargins left="0.7" right="0.7" top="0.75" bottom="0.75" header="0.3" footer="0.3"/>
  <headerFooter>
    <oddHeader>&amp;C&amp;"Myriad Pro"&amp;11&amp;K808080  &amp;1#_x000D_</oddHeader>
    <oddFooter>&amp;C_x000D_&amp;1#&amp;"Myriad Pro"&amp;11&amp;K808080 GENERAL</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8E43-4DC8-4345-9757-73597D205FF4}">
  <dimension ref="A1:I60"/>
  <sheetViews>
    <sheetView workbookViewId="0">
      <selection activeCell="G20" sqref="G20"/>
    </sheetView>
  </sheetViews>
  <sheetFormatPr defaultRowHeight="14.5" x14ac:dyDescent="0.35"/>
  <cols>
    <col min="1" max="1" width="12.1796875" bestFit="1" customWidth="1"/>
    <col min="2" max="2" width="48.6328125" bestFit="1" customWidth="1"/>
    <col min="3" max="3" width="22.08984375" customWidth="1"/>
    <col min="4" max="4" width="23.36328125" customWidth="1"/>
    <col min="5" max="5" width="16.08984375" customWidth="1"/>
    <col min="6" max="6" width="22" bestFit="1" customWidth="1"/>
    <col min="7" max="7" width="17.7265625" customWidth="1"/>
    <col min="8" max="8" width="28.90625" bestFit="1" customWidth="1"/>
  </cols>
  <sheetData>
    <row r="1" spans="1:9" x14ac:dyDescent="0.35">
      <c r="A1" s="2" t="s">
        <v>182</v>
      </c>
      <c r="B1" s="3" t="s">
        <v>175</v>
      </c>
      <c r="C1" s="4" t="s">
        <v>176</v>
      </c>
      <c r="D1" s="4" t="s">
        <v>181</v>
      </c>
      <c r="E1" s="4" t="s">
        <v>183</v>
      </c>
      <c r="F1" s="5" t="s">
        <v>187</v>
      </c>
      <c r="G1" s="6" t="s">
        <v>252</v>
      </c>
      <c r="H1" s="4" t="s">
        <v>518</v>
      </c>
      <c r="I1" s="4" t="s">
        <v>514</v>
      </c>
    </row>
    <row r="2" spans="1:9" x14ac:dyDescent="0.35">
      <c r="A2" s="7" t="s">
        <v>121</v>
      </c>
      <c r="B2" s="8" t="s">
        <v>122</v>
      </c>
      <c r="C2" s="9">
        <v>0</v>
      </c>
      <c r="D2" s="9" t="s">
        <v>177</v>
      </c>
      <c r="E2" s="9" t="s">
        <v>193</v>
      </c>
      <c r="F2" s="9"/>
      <c r="G2" s="9"/>
      <c r="H2" s="9" t="str">
        <f>Table2[[#This Row],[description]]</f>
        <v>Foreign demand shock</v>
      </c>
      <c r="I2" s="9" t="str">
        <f t="shared" ref="I2:I4" si="0">B2</f>
        <v>Foreign demand shock</v>
      </c>
    </row>
    <row r="3" spans="1:9" x14ac:dyDescent="0.35">
      <c r="A3" s="7" t="s">
        <v>123</v>
      </c>
      <c r="B3" s="8" t="s">
        <v>124</v>
      </c>
      <c r="C3" s="9">
        <v>0</v>
      </c>
      <c r="D3" s="9" t="s">
        <v>177</v>
      </c>
      <c r="E3" s="9"/>
      <c r="F3" s="9"/>
      <c r="G3" s="9"/>
      <c r="H3" s="9" t="str">
        <f>Table2[[#This Row],[description]]</f>
        <v>Foreign monetary policy shock</v>
      </c>
      <c r="I3" s="9" t="str">
        <f t="shared" si="0"/>
        <v>Foreign monetary policy shock</v>
      </c>
    </row>
    <row r="4" spans="1:9" x14ac:dyDescent="0.35">
      <c r="A4" s="7" t="s">
        <v>125</v>
      </c>
      <c r="B4" s="8" t="s">
        <v>126</v>
      </c>
      <c r="C4" s="9">
        <v>0</v>
      </c>
      <c r="D4" s="9" t="s">
        <v>177</v>
      </c>
      <c r="E4" s="9"/>
      <c r="F4" s="9"/>
      <c r="G4" s="9"/>
      <c r="H4" s="9" t="str">
        <f>Table2[[#This Row],[description]]</f>
        <v>Foreign cost push shock</v>
      </c>
      <c r="I4" s="9" t="str">
        <f t="shared" si="0"/>
        <v>Foreign cost push shock</v>
      </c>
    </row>
    <row r="5" spans="1:9" x14ac:dyDescent="0.35">
      <c r="A5" s="7" t="s">
        <v>127</v>
      </c>
      <c r="B5" s="8" t="s">
        <v>128</v>
      </c>
      <c r="C5" s="9">
        <v>0</v>
      </c>
      <c r="D5" s="9" t="s">
        <v>179</v>
      </c>
      <c r="E5" s="9" t="s">
        <v>184</v>
      </c>
      <c r="F5" s="9"/>
      <c r="G5" s="9"/>
      <c r="H5" s="9" t="str">
        <f>Table2[[#This Row],[description]]</f>
        <v>Cost push in non-tradeable sector</v>
      </c>
      <c r="I5" s="9"/>
    </row>
    <row r="6" spans="1:9" x14ac:dyDescent="0.35">
      <c r="A6" s="7" t="s">
        <v>129</v>
      </c>
      <c r="B6" s="8" t="s">
        <v>130</v>
      </c>
      <c r="C6" s="9">
        <v>0</v>
      </c>
      <c r="D6" s="9" t="s">
        <v>179</v>
      </c>
      <c r="E6" s="9" t="s">
        <v>184</v>
      </c>
      <c r="F6" s="9"/>
      <c r="G6" s="9"/>
      <c r="H6" s="9" t="str">
        <f>Table2[[#This Row],[description]]</f>
        <v>Cost push in housing sector</v>
      </c>
      <c r="I6" s="9"/>
    </row>
    <row r="7" spans="1:9" x14ac:dyDescent="0.35">
      <c r="A7" s="7" t="s">
        <v>131</v>
      </c>
      <c r="B7" s="8" t="s">
        <v>132</v>
      </c>
      <c r="C7" s="9">
        <v>0</v>
      </c>
      <c r="D7" s="9" t="s">
        <v>179</v>
      </c>
      <c r="E7" s="9" t="s">
        <v>184</v>
      </c>
      <c r="F7" s="9"/>
      <c r="G7" s="9"/>
      <c r="H7" s="9" t="str">
        <f>Table2[[#This Row],[description]]</f>
        <v>Cost push in non-resource tradeable sector</v>
      </c>
      <c r="I7" s="9"/>
    </row>
    <row r="8" spans="1:9" x14ac:dyDescent="0.35">
      <c r="A8" s="7" t="s">
        <v>133</v>
      </c>
      <c r="B8" s="8" t="s">
        <v>134</v>
      </c>
      <c r="C8" s="9">
        <v>0</v>
      </c>
      <c r="D8" s="9" t="s">
        <v>179</v>
      </c>
      <c r="E8" s="9" t="s">
        <v>184</v>
      </c>
      <c r="F8" s="9"/>
      <c r="G8" s="9"/>
      <c r="H8" s="9" t="str">
        <f>Table2[[#This Row],[description]]</f>
        <v>Cost push shock for non-resource tradeable sector exports</v>
      </c>
      <c r="I8" s="9"/>
    </row>
    <row r="9" spans="1:9" x14ac:dyDescent="0.35">
      <c r="A9" s="7" t="s">
        <v>135</v>
      </c>
      <c r="B9" s="8" t="s">
        <v>136</v>
      </c>
      <c r="C9" s="9">
        <v>0</v>
      </c>
      <c r="D9" s="9" t="s">
        <v>179</v>
      </c>
      <c r="E9" s="9" t="s">
        <v>184</v>
      </c>
      <c r="F9" s="9"/>
      <c r="G9" s="9"/>
      <c r="H9" s="9" t="str">
        <f>Table2[[#This Row],[description]]</f>
        <v>Cost push in imports sector</v>
      </c>
      <c r="I9" s="9"/>
    </row>
    <row r="10" spans="1:9" x14ac:dyDescent="0.35">
      <c r="A10" s="7" t="s">
        <v>137</v>
      </c>
      <c r="B10" s="8" t="s">
        <v>138</v>
      </c>
      <c r="C10" s="9">
        <v>0</v>
      </c>
      <c r="D10" s="9" t="s">
        <v>179</v>
      </c>
      <c r="E10" s="9" t="s">
        <v>251</v>
      </c>
      <c r="F10" s="9"/>
      <c r="G10" s="9"/>
      <c r="H10" s="9" t="str">
        <f>Table2[[#This Row],[description]]</f>
        <v>Stationary non-tradeable sector productivity</v>
      </c>
      <c r="I10" s="9"/>
    </row>
    <row r="11" spans="1:9" x14ac:dyDescent="0.35">
      <c r="A11" s="7" t="s">
        <v>139</v>
      </c>
      <c r="B11" s="8" t="s">
        <v>140</v>
      </c>
      <c r="C11" s="9">
        <v>0</v>
      </c>
      <c r="D11" s="9" t="s">
        <v>179</v>
      </c>
      <c r="E11" s="9" t="s">
        <v>251</v>
      </c>
      <c r="F11" s="9"/>
      <c r="G11" s="9"/>
      <c r="H11" s="9" t="str">
        <f>Table2[[#This Row],[description]]</f>
        <v>Stationary housing sector productivity</v>
      </c>
      <c r="I11" s="9"/>
    </row>
    <row r="12" spans="1:9" x14ac:dyDescent="0.35">
      <c r="A12" s="7" t="s">
        <v>141</v>
      </c>
      <c r="B12" s="8" t="s">
        <v>142</v>
      </c>
      <c r="C12" s="9">
        <v>0</v>
      </c>
      <c r="D12" s="9" t="s">
        <v>179</v>
      </c>
      <c r="E12" s="9" t="s">
        <v>251</v>
      </c>
      <c r="F12" s="9"/>
      <c r="G12" s="9"/>
      <c r="H12" s="9" t="str">
        <f>Table2[[#This Row],[description]]</f>
        <v>Stationary non-resource tradeable sector productivity</v>
      </c>
      <c r="I12" s="9"/>
    </row>
    <row r="13" spans="1:9" x14ac:dyDescent="0.35">
      <c r="A13" s="7" t="s">
        <v>143</v>
      </c>
      <c r="B13" s="8" t="s">
        <v>144</v>
      </c>
      <c r="C13" s="9">
        <v>0</v>
      </c>
      <c r="D13" s="9" t="s">
        <v>179</v>
      </c>
      <c r="E13" s="9" t="s">
        <v>251</v>
      </c>
      <c r="F13" s="9"/>
      <c r="G13" s="9"/>
      <c r="H13" s="9" t="str">
        <f>Table2[[#This Row],[description]]</f>
        <v>Stationary resource sector productivity</v>
      </c>
      <c r="I13" s="9"/>
    </row>
    <row r="14" spans="1:9" x14ac:dyDescent="0.35">
      <c r="A14" s="10" t="s">
        <v>194</v>
      </c>
      <c r="B14" s="11" t="s">
        <v>250</v>
      </c>
      <c r="C14" s="9">
        <v>0</v>
      </c>
      <c r="D14" s="9" t="s">
        <v>179</v>
      </c>
      <c r="E14" s="9" t="s">
        <v>251</v>
      </c>
      <c r="F14" s="9"/>
      <c r="G14" s="9"/>
      <c r="H14" s="9" t="str">
        <f>Table2[[#This Row],[description]]</f>
        <v>Stationary aggregate TFP productivity</v>
      </c>
      <c r="I14" s="9"/>
    </row>
    <row r="15" spans="1:9" x14ac:dyDescent="0.35">
      <c r="A15" s="7" t="s">
        <v>145</v>
      </c>
      <c r="B15" s="8" t="s">
        <v>146</v>
      </c>
      <c r="C15" s="9">
        <v>0</v>
      </c>
      <c r="D15" s="9" t="s">
        <v>179</v>
      </c>
      <c r="E15" s="9" t="s">
        <v>251</v>
      </c>
      <c r="F15" s="9"/>
      <c r="G15" s="9"/>
      <c r="H15" s="9" t="str">
        <f>Table2[[#This Row],[description]]</f>
        <v>Unit root TFP shock</v>
      </c>
      <c r="I15" s="9"/>
    </row>
    <row r="16" spans="1:9" x14ac:dyDescent="0.35">
      <c r="A16" s="7" t="s">
        <v>147</v>
      </c>
      <c r="B16" s="8" t="s">
        <v>148</v>
      </c>
      <c r="C16" s="9">
        <v>0</v>
      </c>
      <c r="D16" s="9" t="s">
        <v>180</v>
      </c>
      <c r="E16" s="9"/>
      <c r="F16" s="9" t="s">
        <v>188</v>
      </c>
      <c r="G16" s="9"/>
      <c r="H16" s="9" t="str">
        <f>Table2[[#This Row],[description]]</f>
        <v>Risk premium (exchange rate) shock</v>
      </c>
      <c r="I16" s="9"/>
    </row>
    <row r="17" spans="1:9" x14ac:dyDescent="0.35">
      <c r="A17" s="7" t="s">
        <v>149</v>
      </c>
      <c r="B17" s="8" t="s">
        <v>150</v>
      </c>
      <c r="C17" s="9">
        <v>0</v>
      </c>
      <c r="D17" s="9" t="s">
        <v>177</v>
      </c>
      <c r="E17" s="9"/>
      <c r="F17" s="9"/>
      <c r="G17" s="9"/>
      <c r="H17" s="9" t="str">
        <f>Table2[[#This Row],[description]]</f>
        <v>Foreign commodity price shock</v>
      </c>
      <c r="I17" s="9" t="str">
        <f>Table2[[#This Row],[description]]</f>
        <v>Foreign commodity price shock</v>
      </c>
    </row>
    <row r="18" spans="1:9" x14ac:dyDescent="0.35">
      <c r="A18" s="7" t="s">
        <v>151</v>
      </c>
      <c r="B18" s="8" t="s">
        <v>152</v>
      </c>
      <c r="C18" s="9">
        <v>0</v>
      </c>
      <c r="D18" s="9" t="s">
        <v>180</v>
      </c>
      <c r="E18" s="9"/>
      <c r="F18" s="9" t="s">
        <v>189</v>
      </c>
      <c r="G18" s="9"/>
      <c r="H18" s="9" t="str">
        <f>Table2[[#This Row],[description]]</f>
        <v>Consumption preference shock</v>
      </c>
      <c r="I18" s="9"/>
    </row>
    <row r="19" spans="1:9" x14ac:dyDescent="0.35">
      <c r="A19" s="7" t="s">
        <v>153</v>
      </c>
      <c r="B19" s="8" t="s">
        <v>154</v>
      </c>
      <c r="C19" s="9">
        <v>0</v>
      </c>
      <c r="D19" s="9" t="s">
        <v>180</v>
      </c>
      <c r="E19" s="9"/>
      <c r="F19" s="9" t="s">
        <v>190</v>
      </c>
      <c r="G19" s="9"/>
      <c r="H19" s="9" t="str">
        <f>Table2[[#This Row],[description]]</f>
        <v>Housing preference shock</v>
      </c>
      <c r="I19" s="9"/>
    </row>
    <row r="20" spans="1:9" x14ac:dyDescent="0.35">
      <c r="A20" s="7" t="s">
        <v>155</v>
      </c>
      <c r="B20" s="8" t="s">
        <v>156</v>
      </c>
      <c r="C20" s="9">
        <v>0</v>
      </c>
      <c r="D20" s="9" t="s">
        <v>180</v>
      </c>
      <c r="E20" s="9"/>
      <c r="F20" s="9" t="s">
        <v>178</v>
      </c>
      <c r="G20" s="9"/>
      <c r="H20" s="9" t="str">
        <f>Table2[[#This Row],[description]]</f>
        <v>Government spending shock</v>
      </c>
      <c r="I20" s="9"/>
    </row>
    <row r="21" spans="1:9" x14ac:dyDescent="0.35">
      <c r="A21" s="7" t="s">
        <v>157</v>
      </c>
      <c r="B21" s="8" t="s">
        <v>158</v>
      </c>
      <c r="C21" s="9">
        <v>0</v>
      </c>
      <c r="D21" s="9" t="s">
        <v>180</v>
      </c>
      <c r="E21" s="9"/>
      <c r="F21" s="9" t="s">
        <v>192</v>
      </c>
      <c r="G21" s="9"/>
      <c r="H21" s="9" t="str">
        <f>Table2[[#This Row],[description]]</f>
        <v>Monetary policy shock</v>
      </c>
      <c r="I21" s="9"/>
    </row>
    <row r="22" spans="1:9" x14ac:dyDescent="0.35">
      <c r="A22" s="7" t="s">
        <v>159</v>
      </c>
      <c r="B22" s="8" t="s">
        <v>160</v>
      </c>
      <c r="C22" s="9">
        <v>0</v>
      </c>
      <c r="D22" s="9" t="s">
        <v>180</v>
      </c>
      <c r="E22" s="9"/>
      <c r="F22" s="9" t="s">
        <v>191</v>
      </c>
      <c r="G22" s="9"/>
      <c r="H22" s="9" t="str">
        <f>Table2[[#This Row],[description]]</f>
        <v>Investment efficiency shock</v>
      </c>
      <c r="I22" s="9"/>
    </row>
    <row r="23" spans="1:9" x14ac:dyDescent="0.35">
      <c r="A23" s="7" t="s">
        <v>161</v>
      </c>
      <c r="B23" s="8" t="s">
        <v>162</v>
      </c>
      <c r="C23" s="9">
        <v>0</v>
      </c>
      <c r="D23" s="9" t="s">
        <v>180</v>
      </c>
      <c r="E23" s="9"/>
      <c r="F23" s="9" t="s">
        <v>191</v>
      </c>
      <c r="G23" s="9"/>
      <c r="H23" s="9" t="str">
        <f>Table2[[#This Row],[description]]</f>
        <v>Housing investment efficiency shock</v>
      </c>
      <c r="I23" s="9"/>
    </row>
    <row r="24" spans="1:9" x14ac:dyDescent="0.35">
      <c r="A24" s="7" t="s">
        <v>163</v>
      </c>
      <c r="B24" s="8" t="s">
        <v>164</v>
      </c>
      <c r="C24" s="9">
        <v>0</v>
      </c>
      <c r="D24" s="9" t="s">
        <v>180</v>
      </c>
      <c r="E24" s="9"/>
      <c r="F24" s="9" t="s">
        <v>191</v>
      </c>
      <c r="G24" s="9"/>
      <c r="H24" s="9" t="str">
        <f>Table2[[#This Row],[description]]</f>
        <v>Mining investment efficiency shock</v>
      </c>
      <c r="I24" s="9"/>
    </row>
    <row r="25" spans="1:9" x14ac:dyDescent="0.35">
      <c r="A25" s="7" t="s">
        <v>165</v>
      </c>
      <c r="B25" s="8" t="s">
        <v>166</v>
      </c>
      <c r="C25" s="9">
        <v>0</v>
      </c>
      <c r="D25" s="9" t="s">
        <v>179</v>
      </c>
      <c r="E25" s="9" t="s">
        <v>185</v>
      </c>
      <c r="F25" s="9"/>
      <c r="G25" s="9"/>
      <c r="H25" s="9" t="str">
        <f>Table2[[#This Row],[description]]</f>
        <v>Wage shock in non-tradeable sector</v>
      </c>
      <c r="I25" s="9"/>
    </row>
    <row r="26" spans="1:9" x14ac:dyDescent="0.35">
      <c r="A26" s="7" t="s">
        <v>167</v>
      </c>
      <c r="B26" s="8" t="s">
        <v>168</v>
      </c>
      <c r="C26" s="9">
        <v>0</v>
      </c>
      <c r="D26" s="9" t="s">
        <v>179</v>
      </c>
      <c r="E26" s="9" t="s">
        <v>185</v>
      </c>
      <c r="F26" s="9"/>
      <c r="G26" s="9"/>
      <c r="H26" s="9" t="str">
        <f>Table2[[#This Row],[description]]</f>
        <v>Wage shock in housing sector</v>
      </c>
      <c r="I26" s="9"/>
    </row>
    <row r="27" spans="1:9" x14ac:dyDescent="0.35">
      <c r="A27" s="7" t="s">
        <v>169</v>
      </c>
      <c r="B27" s="8" t="s">
        <v>170</v>
      </c>
      <c r="C27" s="9">
        <v>0</v>
      </c>
      <c r="D27" s="9" t="s">
        <v>179</v>
      </c>
      <c r="E27" s="9" t="s">
        <v>185</v>
      </c>
      <c r="F27" s="9"/>
      <c r="G27" s="9"/>
      <c r="H27" s="9" t="str">
        <f>Table2[[#This Row],[description]]</f>
        <v>Wage shock in other tradeable sector</v>
      </c>
      <c r="I27" s="9"/>
    </row>
    <row r="28" spans="1:9" x14ac:dyDescent="0.35">
      <c r="A28" s="7" t="s">
        <v>171</v>
      </c>
      <c r="B28" s="8" t="s">
        <v>172</v>
      </c>
      <c r="C28" s="9">
        <v>0</v>
      </c>
      <c r="D28" s="9" t="s">
        <v>179</v>
      </c>
      <c r="E28" s="9" t="s">
        <v>185</v>
      </c>
      <c r="F28" s="9"/>
      <c r="G28" s="9"/>
      <c r="H28" s="9" t="str">
        <f>Table2[[#This Row],[description]]</f>
        <v>Wage shock in resources sector</v>
      </c>
      <c r="I28" s="9"/>
    </row>
    <row r="29" spans="1:9" x14ac:dyDescent="0.35">
      <c r="A29" s="7" t="s">
        <v>173</v>
      </c>
      <c r="B29" s="8" t="s">
        <v>174</v>
      </c>
      <c r="C29" s="9">
        <v>0</v>
      </c>
      <c r="D29" s="9" t="s">
        <v>179</v>
      </c>
      <c r="E29" s="9" t="s">
        <v>186</v>
      </c>
      <c r="F29" s="9"/>
      <c r="G29" s="9"/>
      <c r="H29" s="9" t="str">
        <f>Table2[[#This Row],[description]]</f>
        <v>Labour supply shocks</v>
      </c>
      <c r="I29" s="9"/>
    </row>
    <row r="30" spans="1:9" x14ac:dyDescent="0.35">
      <c r="A30" s="10" t="s">
        <v>195</v>
      </c>
      <c r="B30" s="9" t="s">
        <v>225</v>
      </c>
      <c r="C30" s="9">
        <v>1</v>
      </c>
      <c r="D30" s="9"/>
      <c r="E30" s="9"/>
      <c r="F30" s="9"/>
      <c r="G30" s="9" t="str">
        <f>B30</f>
        <v>Measurement error - consumption</v>
      </c>
      <c r="H30" s="9" t="s">
        <v>519</v>
      </c>
      <c r="I30" s="9"/>
    </row>
    <row r="31" spans="1:9" x14ac:dyDescent="0.35">
      <c r="A31" s="10" t="s">
        <v>196</v>
      </c>
      <c r="B31" s="9" t="s">
        <v>226</v>
      </c>
      <c r="C31" s="9">
        <v>1</v>
      </c>
      <c r="D31" s="9"/>
      <c r="E31" s="9"/>
      <c r="F31" s="9"/>
      <c r="G31" s="9" t="str">
        <f t="shared" ref="G31:G60" si="1">B31</f>
        <v>Measurement error - investment</v>
      </c>
      <c r="H31" s="9" t="s">
        <v>519</v>
      </c>
      <c r="I31" s="9"/>
    </row>
    <row r="32" spans="1:9" x14ac:dyDescent="0.35">
      <c r="A32" s="10" t="s">
        <v>197</v>
      </c>
      <c r="B32" s="9" t="s">
        <v>227</v>
      </c>
      <c r="C32" s="9">
        <v>1</v>
      </c>
      <c r="D32" s="9"/>
      <c r="E32" s="9"/>
      <c r="F32" s="9"/>
      <c r="G32" s="9" t="str">
        <f t="shared" si="1"/>
        <v>Measurement error - foreign commodity price</v>
      </c>
      <c r="H32" s="9" t="s">
        <v>519</v>
      </c>
      <c r="I32" s="9"/>
    </row>
    <row r="33" spans="1:9" x14ac:dyDescent="0.35">
      <c r="A33" s="10" t="s">
        <v>198</v>
      </c>
      <c r="B33" s="9" t="s">
        <v>228</v>
      </c>
      <c r="C33" s="9">
        <v>1</v>
      </c>
      <c r="D33" s="9"/>
      <c r="E33" s="9"/>
      <c r="F33" s="9"/>
      <c r="G33" s="9" t="str">
        <f t="shared" si="1"/>
        <v>Measurement error -  resource exports</v>
      </c>
      <c r="H33" s="9" t="s">
        <v>519</v>
      </c>
      <c r="I33" s="9"/>
    </row>
    <row r="34" spans="1:9" x14ac:dyDescent="0.35">
      <c r="A34" s="10" t="s">
        <v>199</v>
      </c>
      <c r="B34" s="9" t="s">
        <v>229</v>
      </c>
      <c r="C34" s="9">
        <v>1</v>
      </c>
      <c r="D34" s="9"/>
      <c r="E34" s="9"/>
      <c r="F34" s="9"/>
      <c r="G34" s="9" t="str">
        <f t="shared" si="1"/>
        <v>Measurement error -  government</v>
      </c>
      <c r="H34" s="9" t="s">
        <v>519</v>
      </c>
      <c r="I34" s="9"/>
    </row>
    <row r="35" spans="1:9" x14ac:dyDescent="0.35">
      <c r="A35" s="10" t="s">
        <v>200</v>
      </c>
      <c r="B35" s="9" t="s">
        <v>230</v>
      </c>
      <c r="C35" s="9">
        <v>1</v>
      </c>
      <c r="D35" s="9"/>
      <c r="E35" s="9"/>
      <c r="F35" s="9"/>
      <c r="G35" s="9" t="str">
        <f t="shared" si="1"/>
        <v>Measurement error -  non-tradable inflation</v>
      </c>
      <c r="H35" s="9" t="s">
        <v>519</v>
      </c>
      <c r="I35" s="9"/>
    </row>
    <row r="36" spans="1:9" x14ac:dyDescent="0.35">
      <c r="A36" s="10" t="s">
        <v>201</v>
      </c>
      <c r="B36" s="9" t="s">
        <v>231</v>
      </c>
      <c r="C36" s="9">
        <v>1</v>
      </c>
      <c r="D36" s="9"/>
      <c r="E36" s="9"/>
      <c r="F36" s="9"/>
      <c r="G36" s="9" t="str">
        <f t="shared" si="1"/>
        <v>Measurement error -  housing inflation</v>
      </c>
      <c r="H36" s="9" t="s">
        <v>519</v>
      </c>
      <c r="I36" s="9"/>
    </row>
    <row r="37" spans="1:9" x14ac:dyDescent="0.35">
      <c r="A37" s="10" t="s">
        <v>202</v>
      </c>
      <c r="B37" s="9" t="s">
        <v>232</v>
      </c>
      <c r="C37" s="9">
        <v>1</v>
      </c>
      <c r="D37" s="9"/>
      <c r="E37" s="9"/>
      <c r="F37" s="9"/>
      <c r="G37" s="9" t="str">
        <f t="shared" si="1"/>
        <v>Measurement error -  Tradable non-resource inflation</v>
      </c>
      <c r="H37" s="9" t="s">
        <v>519</v>
      </c>
      <c r="I37" s="9"/>
    </row>
    <row r="38" spans="1:9" x14ac:dyDescent="0.35">
      <c r="A38" s="12" t="s">
        <v>203</v>
      </c>
      <c r="B38" s="9" t="str">
        <f>_xlfn.CONCAT("Measurement error - ", MID(A38, 3, LEN(A38)-2))</f>
        <v>Measurement error - yxm</v>
      </c>
      <c r="C38" s="9">
        <v>1</v>
      </c>
      <c r="D38" s="9"/>
      <c r="E38" s="9"/>
      <c r="F38" s="9"/>
      <c r="G38" s="9" t="str">
        <f t="shared" si="1"/>
        <v>Measurement error - yxm</v>
      </c>
      <c r="H38" s="9" t="s">
        <v>519</v>
      </c>
      <c r="I38" s="9"/>
    </row>
    <row r="39" spans="1:9" x14ac:dyDescent="0.35">
      <c r="A39" s="9" t="s">
        <v>204</v>
      </c>
      <c r="B39" s="9" t="str">
        <f>_xlfn.CONCAT("Measurement error - ", MID(A39, 3, LEN(A39)-2))</f>
        <v>Measurement error - dhours</v>
      </c>
      <c r="C39" s="9">
        <v>1</v>
      </c>
      <c r="D39" s="9"/>
      <c r="E39" s="9"/>
      <c r="F39" s="9"/>
      <c r="G39" s="9" t="str">
        <f t="shared" si="1"/>
        <v>Measurement error - dhours</v>
      </c>
      <c r="H39" s="9" t="s">
        <v>519</v>
      </c>
      <c r="I39" s="9"/>
    </row>
    <row r="40" spans="1:9" x14ac:dyDescent="0.35">
      <c r="A40" s="12" t="s">
        <v>205</v>
      </c>
      <c r="B40" s="9" t="s">
        <v>233</v>
      </c>
      <c r="C40" s="9">
        <v>1</v>
      </c>
      <c r="D40" s="9"/>
      <c r="E40" s="9"/>
      <c r="F40" s="9"/>
      <c r="G40" s="9" t="str">
        <f t="shared" si="1"/>
        <v>Measurement error -  Housing investment</v>
      </c>
      <c r="H40" s="9" t="s">
        <v>519</v>
      </c>
      <c r="I40" s="9"/>
    </row>
    <row r="41" spans="1:9" x14ac:dyDescent="0.35">
      <c r="A41" s="9" t="s">
        <v>206</v>
      </c>
      <c r="B41" s="9" t="s">
        <v>234</v>
      </c>
      <c r="C41" s="9">
        <v>1</v>
      </c>
      <c r="D41" s="9"/>
      <c r="E41" s="9"/>
      <c r="F41" s="9"/>
      <c r="G41" s="9" t="str">
        <f t="shared" si="1"/>
        <v>Measurement error -  Resource investment</v>
      </c>
      <c r="H41" s="9" t="s">
        <v>519</v>
      </c>
      <c r="I41" s="9"/>
    </row>
    <row r="42" spans="1:9" x14ac:dyDescent="0.35">
      <c r="A42" s="12" t="s">
        <v>207</v>
      </c>
      <c r="B42" s="9" t="s">
        <v>253</v>
      </c>
      <c r="C42" s="9">
        <v>1</v>
      </c>
      <c r="D42" s="9"/>
      <c r="E42" s="9"/>
      <c r="F42" s="9"/>
      <c r="G42" s="9" t="str">
        <f t="shared" si="1"/>
        <v>Measurement error - yva_n</v>
      </c>
      <c r="H42" s="9" t="s">
        <v>519</v>
      </c>
      <c r="I42" s="9"/>
    </row>
    <row r="43" spans="1:9" x14ac:dyDescent="0.35">
      <c r="A43" s="9" t="s">
        <v>208</v>
      </c>
      <c r="B43" s="9" t="str">
        <f>_xlfn.CONCAT("Measurement error - ", MID(A43, 3, LEN(A43)-2))</f>
        <v>Measurement error - yva_m</v>
      </c>
      <c r="C43" s="9">
        <v>1</v>
      </c>
      <c r="D43" s="9"/>
      <c r="E43" s="9"/>
      <c r="F43" s="9"/>
      <c r="G43" s="9" t="str">
        <f t="shared" si="1"/>
        <v>Measurement error - yva_m</v>
      </c>
      <c r="H43" s="9" t="s">
        <v>519</v>
      </c>
      <c r="I43" s="9"/>
    </row>
    <row r="44" spans="1:9" x14ac:dyDescent="0.35">
      <c r="A44" s="12" t="s">
        <v>209</v>
      </c>
      <c r="B44" s="9" t="str">
        <f t="shared" ref="B44:B45" si="2">_xlfn.CONCAT("Measurement error - ", MID(A44, 3, LEN(A44)-2))</f>
        <v>Measurement error - yva_z</v>
      </c>
      <c r="C44" s="9">
        <v>1</v>
      </c>
      <c r="D44" s="9"/>
      <c r="E44" s="9"/>
      <c r="F44" s="9"/>
      <c r="G44" s="9" t="str">
        <f t="shared" si="1"/>
        <v>Measurement error - yva_z</v>
      </c>
      <c r="H44" s="9" t="s">
        <v>519</v>
      </c>
      <c r="I44" s="9"/>
    </row>
    <row r="45" spans="1:9" x14ac:dyDescent="0.35">
      <c r="A45" s="9" t="s">
        <v>210</v>
      </c>
      <c r="B45" s="9" t="str">
        <f t="shared" si="2"/>
        <v>Measurement error - yva_h</v>
      </c>
      <c r="C45" s="9">
        <v>1</v>
      </c>
      <c r="D45" s="9"/>
      <c r="E45" s="9"/>
      <c r="F45" s="9"/>
      <c r="G45" s="9" t="str">
        <f t="shared" si="1"/>
        <v>Measurement error - yva_h</v>
      </c>
      <c r="H45" s="9" t="s">
        <v>519</v>
      </c>
      <c r="I45" s="9"/>
    </row>
    <row r="46" spans="1:9" x14ac:dyDescent="0.35">
      <c r="A46" s="12" t="s">
        <v>211</v>
      </c>
      <c r="B46" s="9" t="s">
        <v>235</v>
      </c>
      <c r="C46" s="9">
        <v>1</v>
      </c>
      <c r="D46" s="9"/>
      <c r="E46" s="9"/>
      <c r="F46" s="9"/>
      <c r="G46" s="9" t="str">
        <f t="shared" si="1"/>
        <v>Measurement error -  Foreign interest rate</v>
      </c>
      <c r="H46" s="9" t="s">
        <v>519</v>
      </c>
      <c r="I46" s="9"/>
    </row>
    <row r="47" spans="1:9" x14ac:dyDescent="0.35">
      <c r="A47" s="9" t="s">
        <v>212</v>
      </c>
      <c r="B47" s="9" t="s">
        <v>236</v>
      </c>
      <c r="C47" s="9">
        <v>1</v>
      </c>
      <c r="D47" s="9"/>
      <c r="E47" s="9"/>
      <c r="F47" s="9"/>
      <c r="G47" s="9" t="str">
        <f t="shared" si="1"/>
        <v>Measurement error -  Tradable non-resource wage inflation</v>
      </c>
      <c r="H47" s="9" t="s">
        <v>519</v>
      </c>
      <c r="I47" s="9"/>
    </row>
    <row r="48" spans="1:9" x14ac:dyDescent="0.35">
      <c r="A48" s="12" t="s">
        <v>213</v>
      </c>
      <c r="B48" s="9" t="s">
        <v>237</v>
      </c>
      <c r="C48" s="9">
        <v>1</v>
      </c>
      <c r="D48" s="9"/>
      <c r="E48" s="9"/>
      <c r="F48" s="9"/>
      <c r="G48" s="9" t="str">
        <f t="shared" si="1"/>
        <v>Measurement error -  Resource wage inflation</v>
      </c>
      <c r="H48" s="9" t="s">
        <v>519</v>
      </c>
      <c r="I48" s="9"/>
    </row>
    <row r="49" spans="1:9" x14ac:dyDescent="0.35">
      <c r="A49" s="9" t="s">
        <v>214</v>
      </c>
      <c r="B49" s="9" t="s">
        <v>238</v>
      </c>
      <c r="C49" s="9">
        <v>1</v>
      </c>
      <c r="D49" s="9"/>
      <c r="E49" s="9"/>
      <c r="F49" s="9"/>
      <c r="G49" s="9" t="str">
        <f t="shared" si="1"/>
        <v>Measurement error -  Housing wage inflation</v>
      </c>
      <c r="H49" s="9" t="s">
        <v>519</v>
      </c>
      <c r="I49" s="9"/>
    </row>
    <row r="50" spans="1:9" x14ac:dyDescent="0.35">
      <c r="A50" s="12" t="s">
        <v>215</v>
      </c>
      <c r="B50" s="9" t="s">
        <v>239</v>
      </c>
      <c r="C50" s="9">
        <v>1</v>
      </c>
      <c r="D50" s="9"/>
      <c r="E50" s="9"/>
      <c r="F50" s="9"/>
      <c r="G50" s="9" t="str">
        <f t="shared" si="1"/>
        <v>Measurement error -  Non-tradable wage inflation</v>
      </c>
      <c r="H50" s="9" t="s">
        <v>519</v>
      </c>
      <c r="I50" s="9"/>
    </row>
    <row r="51" spans="1:9" x14ac:dyDescent="0.35">
      <c r="A51" s="9" t="s">
        <v>216</v>
      </c>
      <c r="B51" s="9" t="s">
        <v>240</v>
      </c>
      <c r="C51" s="9">
        <v>1</v>
      </c>
      <c r="D51" s="9"/>
      <c r="E51" s="9"/>
      <c r="F51" s="9"/>
      <c r="G51" s="9" t="str">
        <f t="shared" si="1"/>
        <v>Measurement error - Output</v>
      </c>
      <c r="H51" s="9" t="s">
        <v>519</v>
      </c>
      <c r="I51" s="9"/>
    </row>
    <row r="52" spans="1:9" x14ac:dyDescent="0.35">
      <c r="A52" s="12" t="s">
        <v>217</v>
      </c>
      <c r="B52" s="9" t="s">
        <v>241</v>
      </c>
      <c r="C52" s="9">
        <v>1</v>
      </c>
      <c r="D52" s="9"/>
      <c r="E52" s="9"/>
      <c r="F52" s="9"/>
      <c r="G52" s="9" t="str">
        <f t="shared" si="1"/>
        <v>Measurement error - Exports</v>
      </c>
      <c r="H52" s="9" t="s">
        <v>519</v>
      </c>
      <c r="I52" s="9"/>
    </row>
    <row r="53" spans="1:9" x14ac:dyDescent="0.35">
      <c r="A53" s="9" t="s">
        <v>218</v>
      </c>
      <c r="B53" s="9" t="s">
        <v>242</v>
      </c>
      <c r="C53" s="9">
        <v>1</v>
      </c>
      <c r="D53" s="9"/>
      <c r="E53" s="9"/>
      <c r="F53" s="9"/>
      <c r="G53" s="9" t="str">
        <f t="shared" si="1"/>
        <v>Measurement error - Imports</v>
      </c>
      <c r="H53" s="9" t="s">
        <v>519</v>
      </c>
      <c r="I53" s="9"/>
    </row>
    <row r="54" spans="1:9" x14ac:dyDescent="0.35">
      <c r="A54" s="12" t="s">
        <v>219</v>
      </c>
      <c r="B54" s="9" t="s">
        <v>243</v>
      </c>
      <c r="C54" s="9">
        <v>1</v>
      </c>
      <c r="D54" s="9"/>
      <c r="E54" s="9"/>
      <c r="F54" s="9"/>
      <c r="G54" s="9" t="str">
        <f t="shared" si="1"/>
        <v>Measurement error - Inflation</v>
      </c>
      <c r="H54" s="9" t="s">
        <v>519</v>
      </c>
      <c r="I54" s="9"/>
    </row>
    <row r="55" spans="1:9" x14ac:dyDescent="0.35">
      <c r="A55" s="12" t="s">
        <v>220</v>
      </c>
      <c r="B55" s="9" t="s">
        <v>246</v>
      </c>
      <c r="C55" s="9">
        <v>1</v>
      </c>
      <c r="D55" s="9"/>
      <c r="E55" s="9"/>
      <c r="F55" s="9"/>
      <c r="G55" s="9" t="str">
        <f t="shared" si="1"/>
        <v>Measurement error - Nominal TWI</v>
      </c>
      <c r="H55" s="9" t="s">
        <v>519</v>
      </c>
      <c r="I55" s="9"/>
    </row>
    <row r="56" spans="1:9" x14ac:dyDescent="0.35">
      <c r="A56" s="9" t="s">
        <v>221</v>
      </c>
      <c r="B56" s="9" t="s">
        <v>247</v>
      </c>
      <c r="C56" s="9">
        <v>1</v>
      </c>
      <c r="D56" s="9"/>
      <c r="E56" s="9"/>
      <c r="F56" s="9"/>
      <c r="G56" s="9" t="str">
        <f t="shared" si="1"/>
        <v>Measurement error - Foreign output</v>
      </c>
      <c r="H56" s="9" t="s">
        <v>519</v>
      </c>
      <c r="I56" s="9"/>
    </row>
    <row r="57" spans="1:9" x14ac:dyDescent="0.35">
      <c r="A57" s="12" t="s">
        <v>222</v>
      </c>
      <c r="B57" s="9" t="s">
        <v>248</v>
      </c>
      <c r="C57" s="9">
        <v>1</v>
      </c>
      <c r="D57" s="9"/>
      <c r="E57" s="9"/>
      <c r="F57" s="9"/>
      <c r="G57" s="9" t="str">
        <f t="shared" si="1"/>
        <v>Measurement error - Foreign inflation</v>
      </c>
      <c r="H57" s="9" t="s">
        <v>519</v>
      </c>
      <c r="I57" s="9"/>
    </row>
    <row r="58" spans="1:9" x14ac:dyDescent="0.35">
      <c r="A58" s="9" t="s">
        <v>223</v>
      </c>
      <c r="B58" s="9" t="str">
        <f>_xlfn.CONCAT("Measurement error - ", MID(A58, 3, LEN(A58)-2))</f>
        <v>Measurement error - hours</v>
      </c>
      <c r="C58" s="9">
        <v>1</v>
      </c>
      <c r="D58" s="9"/>
      <c r="E58" s="9"/>
      <c r="F58" s="9"/>
      <c r="G58" s="9" t="str">
        <f t="shared" si="1"/>
        <v>Measurement error - hours</v>
      </c>
      <c r="H58" s="9" t="s">
        <v>519</v>
      </c>
      <c r="I58" s="9"/>
    </row>
    <row r="59" spans="1:9" x14ac:dyDescent="0.35">
      <c r="A59" s="12" t="s">
        <v>224</v>
      </c>
      <c r="B59" s="9" t="s">
        <v>249</v>
      </c>
      <c r="C59" s="9">
        <v>1</v>
      </c>
      <c r="D59" s="9"/>
      <c r="E59" s="9"/>
      <c r="F59" s="9"/>
      <c r="G59" s="9" t="str">
        <f t="shared" si="1"/>
        <v>Measurement error - Real TWI</v>
      </c>
      <c r="H59" s="9" t="s">
        <v>519</v>
      </c>
      <c r="I59" s="9"/>
    </row>
    <row r="60" spans="1:9" x14ac:dyDescent="0.35">
      <c r="A60" s="9" t="s">
        <v>244</v>
      </c>
      <c r="B60" s="9" t="s">
        <v>245</v>
      </c>
      <c r="C60" s="9">
        <v>1</v>
      </c>
      <c r="D60" s="9"/>
      <c r="E60" s="9"/>
      <c r="F60" s="9"/>
      <c r="G60" s="9" t="str">
        <f t="shared" si="1"/>
        <v>Measurement error - Interest rate</v>
      </c>
      <c r="H60" s="9" t="s">
        <v>519</v>
      </c>
      <c r="I60" s="9"/>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7C09-4B3C-46A3-9E66-D92FECA9E0D6}">
  <dimension ref="A1:H65"/>
  <sheetViews>
    <sheetView workbookViewId="0">
      <selection activeCell="C2" sqref="C2"/>
    </sheetView>
  </sheetViews>
  <sheetFormatPr defaultRowHeight="14.5" x14ac:dyDescent="0.35"/>
  <cols>
    <col min="2" max="2" width="13.36328125" bestFit="1" customWidth="1"/>
    <col min="3" max="3" width="14.7265625" bestFit="1" customWidth="1"/>
  </cols>
  <sheetData>
    <row r="1" spans="1:8" x14ac:dyDescent="0.35">
      <c r="A1" t="s">
        <v>254</v>
      </c>
      <c r="B1" t="s">
        <v>255</v>
      </c>
      <c r="C1" t="s">
        <v>0</v>
      </c>
      <c r="D1" t="s">
        <v>256</v>
      </c>
      <c r="E1" t="s">
        <v>257</v>
      </c>
      <c r="F1" t="s">
        <v>258</v>
      </c>
      <c r="G1" t="s">
        <v>259</v>
      </c>
      <c r="H1" t="s">
        <v>260</v>
      </c>
    </row>
    <row r="2" spans="1:8" x14ac:dyDescent="0.35">
      <c r="A2" t="s">
        <v>261</v>
      </c>
      <c r="B2" t="s">
        <v>262</v>
      </c>
      <c r="C2" t="s">
        <v>263</v>
      </c>
      <c r="D2" t="s">
        <v>264</v>
      </c>
      <c r="E2" t="s">
        <v>265</v>
      </c>
      <c r="F2" t="s">
        <v>266</v>
      </c>
      <c r="G2" t="s">
        <v>267</v>
      </c>
      <c r="H2" t="s">
        <v>268</v>
      </c>
    </row>
    <row r="3" spans="1:8" x14ac:dyDescent="0.35">
      <c r="A3" t="s">
        <v>269</v>
      </c>
      <c r="B3" t="s">
        <v>270</v>
      </c>
      <c r="C3" t="s">
        <v>271</v>
      </c>
      <c r="D3" t="s">
        <v>272</v>
      </c>
      <c r="E3" t="s">
        <v>265</v>
      </c>
      <c r="F3" t="s">
        <v>273</v>
      </c>
      <c r="G3" t="s">
        <v>267</v>
      </c>
      <c r="H3" t="s">
        <v>274</v>
      </c>
    </row>
    <row r="4" spans="1:8" x14ac:dyDescent="0.35">
      <c r="A4" t="s">
        <v>275</v>
      </c>
      <c r="B4" t="s">
        <v>276</v>
      </c>
      <c r="C4" t="s">
        <v>277</v>
      </c>
      <c r="D4" t="s">
        <v>278</v>
      </c>
      <c r="E4" t="s">
        <v>265</v>
      </c>
      <c r="F4" t="s">
        <v>273</v>
      </c>
      <c r="G4" t="s">
        <v>267</v>
      </c>
      <c r="H4" t="s">
        <v>279</v>
      </c>
    </row>
    <row r="5" spans="1:8" x14ac:dyDescent="0.35">
      <c r="A5" t="s">
        <v>280</v>
      </c>
      <c r="B5" t="s">
        <v>281</v>
      </c>
      <c r="C5" s="13" t="s">
        <v>282</v>
      </c>
      <c r="D5" t="s">
        <v>283</v>
      </c>
      <c r="E5" t="s">
        <v>265</v>
      </c>
      <c r="F5" t="s">
        <v>284</v>
      </c>
      <c r="G5" t="s">
        <v>267</v>
      </c>
      <c r="H5" t="s">
        <v>285</v>
      </c>
    </row>
    <row r="6" spans="1:8" x14ac:dyDescent="0.35">
      <c r="A6" t="s">
        <v>286</v>
      </c>
      <c r="B6" t="s">
        <v>287</v>
      </c>
      <c r="C6" s="13" t="s">
        <v>288</v>
      </c>
      <c r="D6" t="s">
        <v>289</v>
      </c>
      <c r="E6" t="s">
        <v>265</v>
      </c>
      <c r="F6" t="s">
        <v>290</v>
      </c>
      <c r="G6" t="s">
        <v>267</v>
      </c>
      <c r="H6" t="s">
        <v>291</v>
      </c>
    </row>
    <row r="7" spans="1:8" x14ac:dyDescent="0.35">
      <c r="A7" t="s">
        <v>292</v>
      </c>
      <c r="B7" t="s">
        <v>57</v>
      </c>
      <c r="C7" t="s">
        <v>293</v>
      </c>
      <c r="D7" t="s">
        <v>294</v>
      </c>
      <c r="E7" t="s">
        <v>265</v>
      </c>
      <c r="G7" t="s">
        <v>267</v>
      </c>
      <c r="H7" t="s">
        <v>295</v>
      </c>
    </row>
    <row r="8" spans="1:8" x14ac:dyDescent="0.35">
      <c r="A8" t="s">
        <v>296</v>
      </c>
      <c r="B8" t="s">
        <v>297</v>
      </c>
      <c r="C8" t="s">
        <v>297</v>
      </c>
      <c r="D8" t="s">
        <v>298</v>
      </c>
      <c r="E8" t="s">
        <v>299</v>
      </c>
      <c r="G8" t="s">
        <v>267</v>
      </c>
      <c r="H8" t="s">
        <v>300</v>
      </c>
    </row>
    <row r="9" spans="1:8" x14ac:dyDescent="0.35">
      <c r="A9" t="s">
        <v>301</v>
      </c>
      <c r="B9" t="s">
        <v>302</v>
      </c>
      <c r="C9" t="str">
        <f>B9</f>
        <v>omega_n</v>
      </c>
      <c r="D9" t="s">
        <v>303</v>
      </c>
      <c r="E9" t="s">
        <v>299</v>
      </c>
      <c r="G9" t="s">
        <v>267</v>
      </c>
      <c r="H9" t="s">
        <v>304</v>
      </c>
    </row>
    <row r="10" spans="1:8" x14ac:dyDescent="0.35">
      <c r="A10" t="s">
        <v>305</v>
      </c>
      <c r="B10" t="s">
        <v>306</v>
      </c>
      <c r="C10" t="str">
        <f>B10</f>
        <v>omega_m</v>
      </c>
      <c r="D10" t="s">
        <v>307</v>
      </c>
      <c r="E10" t="s">
        <v>299</v>
      </c>
      <c r="G10" t="s">
        <v>267</v>
      </c>
      <c r="H10" t="s">
        <v>308</v>
      </c>
    </row>
    <row r="11" spans="1:8" x14ac:dyDescent="0.35">
      <c r="A11" t="s">
        <v>309</v>
      </c>
      <c r="B11" t="s">
        <v>310</v>
      </c>
      <c r="C11" s="13" t="s">
        <v>311</v>
      </c>
      <c r="D11" t="s">
        <v>312</v>
      </c>
      <c r="E11" t="s">
        <v>299</v>
      </c>
      <c r="G11" t="s">
        <v>267</v>
      </c>
      <c r="H11" t="s">
        <v>313</v>
      </c>
    </row>
    <row r="12" spans="1:8" x14ac:dyDescent="0.35">
      <c r="A12" t="s">
        <v>314</v>
      </c>
      <c r="B12" t="s">
        <v>315</v>
      </c>
      <c r="C12" t="str">
        <f>B12</f>
        <v>omega_f</v>
      </c>
      <c r="D12" t="s">
        <v>316</v>
      </c>
      <c r="E12" t="s">
        <v>299</v>
      </c>
      <c r="G12" t="s">
        <v>267</v>
      </c>
      <c r="H12" t="s">
        <v>317</v>
      </c>
    </row>
    <row r="13" spans="1:8" x14ac:dyDescent="0.35">
      <c r="A13" t="s">
        <v>318</v>
      </c>
      <c r="B13" t="s">
        <v>319</v>
      </c>
      <c r="C13" t="str">
        <f>B13</f>
        <v>zeta</v>
      </c>
      <c r="D13" t="s">
        <v>320</v>
      </c>
      <c r="E13" t="s">
        <v>299</v>
      </c>
      <c r="G13" t="s">
        <v>267</v>
      </c>
      <c r="H13" t="s">
        <v>321</v>
      </c>
    </row>
    <row r="14" spans="1:8" x14ac:dyDescent="0.35">
      <c r="A14" t="s">
        <v>322</v>
      </c>
      <c r="B14" t="s">
        <v>323</v>
      </c>
      <c r="C14" s="13" t="s">
        <v>324</v>
      </c>
      <c r="D14" t="s">
        <v>325</v>
      </c>
      <c r="E14" t="s">
        <v>299</v>
      </c>
      <c r="G14" t="s">
        <v>267</v>
      </c>
      <c r="H14" t="s">
        <v>321</v>
      </c>
    </row>
    <row r="15" spans="1:8" x14ac:dyDescent="0.35">
      <c r="A15" t="s">
        <v>326</v>
      </c>
      <c r="B15" t="s">
        <v>327</v>
      </c>
      <c r="C15" t="str">
        <f>B15</f>
        <v>eta</v>
      </c>
      <c r="D15" t="s">
        <v>328</v>
      </c>
      <c r="E15" t="s">
        <v>299</v>
      </c>
      <c r="G15" t="s">
        <v>267</v>
      </c>
      <c r="H15" t="s">
        <v>329</v>
      </c>
    </row>
    <row r="16" spans="1:8" x14ac:dyDescent="0.35">
      <c r="A16" t="s">
        <v>330</v>
      </c>
      <c r="B16" t="s">
        <v>331</v>
      </c>
      <c r="C16" t="str">
        <f>B16</f>
        <v>sigma</v>
      </c>
      <c r="D16" t="s">
        <v>332</v>
      </c>
      <c r="E16" t="s">
        <v>299</v>
      </c>
      <c r="F16" t="s">
        <v>333</v>
      </c>
      <c r="G16" t="s">
        <v>267</v>
      </c>
      <c r="H16" t="s">
        <v>329</v>
      </c>
    </row>
    <row r="17" spans="1:8" x14ac:dyDescent="0.35">
      <c r="A17" t="s">
        <v>334</v>
      </c>
      <c r="B17" t="s">
        <v>335</v>
      </c>
      <c r="C17" s="13" t="s">
        <v>336</v>
      </c>
      <c r="D17" t="s">
        <v>337</v>
      </c>
      <c r="E17" t="s">
        <v>299</v>
      </c>
      <c r="G17" t="s">
        <v>267</v>
      </c>
      <c r="H17" t="s">
        <v>338</v>
      </c>
    </row>
    <row r="18" spans="1:8" x14ac:dyDescent="0.35">
      <c r="A18" t="s">
        <v>339</v>
      </c>
      <c r="B18" t="s">
        <v>340</v>
      </c>
      <c r="C18" t="s">
        <v>341</v>
      </c>
      <c r="D18" t="s">
        <v>342</v>
      </c>
      <c r="E18" t="s">
        <v>299</v>
      </c>
      <c r="G18" t="s">
        <v>267</v>
      </c>
      <c r="H18" t="s">
        <v>343</v>
      </c>
    </row>
    <row r="19" spans="1:8" x14ac:dyDescent="0.35">
      <c r="A19" t="s">
        <v>344</v>
      </c>
      <c r="B19" t="s">
        <v>345</v>
      </c>
      <c r="C19" t="s">
        <v>346</v>
      </c>
      <c r="D19" t="s">
        <v>347</v>
      </c>
      <c r="E19" t="s">
        <v>348</v>
      </c>
      <c r="G19" t="s">
        <v>267</v>
      </c>
      <c r="H19" t="s">
        <v>349</v>
      </c>
    </row>
    <row r="20" spans="1:8" x14ac:dyDescent="0.35">
      <c r="A20" t="s">
        <v>350</v>
      </c>
      <c r="B20" t="s">
        <v>351</v>
      </c>
      <c r="C20" s="13" t="s">
        <v>352</v>
      </c>
      <c r="D20" t="s">
        <v>353</v>
      </c>
      <c r="E20" t="s">
        <v>348</v>
      </c>
      <c r="G20" t="s">
        <v>267</v>
      </c>
      <c r="H20" t="s">
        <v>354</v>
      </c>
    </row>
    <row r="21" spans="1:8" x14ac:dyDescent="0.35">
      <c r="A21" t="s">
        <v>355</v>
      </c>
      <c r="B21" t="s">
        <v>356</v>
      </c>
      <c r="C21" s="13" t="s">
        <v>357</v>
      </c>
      <c r="D21" t="s">
        <v>358</v>
      </c>
      <c r="E21" t="s">
        <v>348</v>
      </c>
      <c r="G21" t="s">
        <v>267</v>
      </c>
      <c r="H21" t="s">
        <v>359</v>
      </c>
    </row>
    <row r="22" spans="1:8" x14ac:dyDescent="0.35">
      <c r="A22" t="s">
        <v>360</v>
      </c>
      <c r="B22" t="s">
        <v>361</v>
      </c>
      <c r="C22" s="13" t="s">
        <v>362</v>
      </c>
      <c r="D22" t="s">
        <v>363</v>
      </c>
      <c r="E22" t="s">
        <v>348</v>
      </c>
      <c r="G22" t="s">
        <v>267</v>
      </c>
      <c r="H22" t="s">
        <v>291</v>
      </c>
    </row>
    <row r="23" spans="1:8" x14ac:dyDescent="0.35">
      <c r="A23" t="s">
        <v>364</v>
      </c>
      <c r="B23" t="s">
        <v>365</v>
      </c>
      <c r="C23" t="str">
        <f>B23</f>
        <v>delta_n</v>
      </c>
      <c r="D23" t="s">
        <v>366</v>
      </c>
      <c r="E23" t="s">
        <v>348</v>
      </c>
      <c r="G23" t="s">
        <v>267</v>
      </c>
      <c r="H23" t="s">
        <v>367</v>
      </c>
    </row>
    <row r="24" spans="1:8" x14ac:dyDescent="0.35">
      <c r="A24" t="s">
        <v>368</v>
      </c>
      <c r="B24" t="s">
        <v>369</v>
      </c>
      <c r="C24" t="s">
        <v>370</v>
      </c>
      <c r="D24" t="s">
        <v>347</v>
      </c>
      <c r="E24" t="s">
        <v>371</v>
      </c>
      <c r="G24" t="s">
        <v>267</v>
      </c>
      <c r="H24" t="s">
        <v>372</v>
      </c>
    </row>
    <row r="25" spans="1:8" x14ac:dyDescent="0.35">
      <c r="A25" t="s">
        <v>373</v>
      </c>
      <c r="B25" t="s">
        <v>374</v>
      </c>
      <c r="C25" t="s">
        <v>375</v>
      </c>
      <c r="D25" t="s">
        <v>353</v>
      </c>
      <c r="E25" t="s">
        <v>371</v>
      </c>
      <c r="G25" t="s">
        <v>267</v>
      </c>
      <c r="H25" t="s">
        <v>376</v>
      </c>
    </row>
    <row r="26" spans="1:8" x14ac:dyDescent="0.35">
      <c r="A26" t="s">
        <v>377</v>
      </c>
      <c r="B26" t="s">
        <v>378</v>
      </c>
      <c r="C26" t="s">
        <v>379</v>
      </c>
      <c r="D26" t="s">
        <v>358</v>
      </c>
      <c r="E26" t="s">
        <v>371</v>
      </c>
      <c r="F26" t="s">
        <v>380</v>
      </c>
      <c r="G26" t="s">
        <v>267</v>
      </c>
      <c r="H26" t="s">
        <v>359</v>
      </c>
    </row>
    <row r="27" spans="1:8" x14ac:dyDescent="0.35">
      <c r="A27" t="s">
        <v>381</v>
      </c>
      <c r="B27" t="s">
        <v>382</v>
      </c>
      <c r="C27" t="s">
        <v>383</v>
      </c>
      <c r="D27" t="s">
        <v>363</v>
      </c>
      <c r="E27" t="s">
        <v>371</v>
      </c>
      <c r="G27" t="s">
        <v>267</v>
      </c>
      <c r="H27" t="s">
        <v>291</v>
      </c>
    </row>
    <row r="28" spans="1:8" x14ac:dyDescent="0.35">
      <c r="A28" t="s">
        <v>384</v>
      </c>
      <c r="B28" t="s">
        <v>385</v>
      </c>
      <c r="C28" t="str">
        <f>B28</f>
        <v>delta_m</v>
      </c>
      <c r="D28" t="s">
        <v>366</v>
      </c>
      <c r="E28" t="s">
        <v>371</v>
      </c>
      <c r="G28" t="s">
        <v>267</v>
      </c>
      <c r="H28" t="s">
        <v>386</v>
      </c>
    </row>
    <row r="29" spans="1:8" x14ac:dyDescent="0.35">
      <c r="A29" t="s">
        <v>387</v>
      </c>
      <c r="B29" t="s">
        <v>388</v>
      </c>
      <c r="C29" t="s">
        <v>389</v>
      </c>
      <c r="D29" t="s">
        <v>390</v>
      </c>
      <c r="E29" t="s">
        <v>371</v>
      </c>
      <c r="G29" t="s">
        <v>267</v>
      </c>
      <c r="H29" t="s">
        <v>391</v>
      </c>
    </row>
    <row r="30" spans="1:8" x14ac:dyDescent="0.35">
      <c r="A30" t="s">
        <v>392</v>
      </c>
      <c r="B30" t="s">
        <v>393</v>
      </c>
      <c r="C30" t="s">
        <v>394</v>
      </c>
      <c r="D30" t="s">
        <v>347</v>
      </c>
      <c r="E30" t="s">
        <v>395</v>
      </c>
      <c r="G30" t="s">
        <v>267</v>
      </c>
      <c r="H30" t="s">
        <v>396</v>
      </c>
    </row>
    <row r="31" spans="1:8" x14ac:dyDescent="0.35">
      <c r="A31" t="s">
        <v>397</v>
      </c>
      <c r="B31" t="s">
        <v>398</v>
      </c>
      <c r="C31" t="s">
        <v>399</v>
      </c>
      <c r="D31" t="s">
        <v>400</v>
      </c>
      <c r="E31" t="s">
        <v>395</v>
      </c>
      <c r="G31" t="s">
        <v>267</v>
      </c>
      <c r="H31" t="s">
        <v>401</v>
      </c>
    </row>
    <row r="32" spans="1:8" x14ac:dyDescent="0.35">
      <c r="A32" t="s">
        <v>402</v>
      </c>
      <c r="B32" t="s">
        <v>403</v>
      </c>
      <c r="C32" t="str">
        <f>B32</f>
        <v>delta_z</v>
      </c>
      <c r="D32" t="s">
        <v>366</v>
      </c>
      <c r="E32" t="s">
        <v>395</v>
      </c>
      <c r="G32" t="s">
        <v>267</v>
      </c>
      <c r="H32" t="s">
        <v>404</v>
      </c>
    </row>
    <row r="33" spans="1:8" x14ac:dyDescent="0.35">
      <c r="A33" t="s">
        <v>405</v>
      </c>
      <c r="B33" t="s">
        <v>406</v>
      </c>
      <c r="C33" t="s">
        <v>407</v>
      </c>
      <c r="D33" t="s">
        <v>408</v>
      </c>
      <c r="E33" t="s">
        <v>395</v>
      </c>
      <c r="G33" t="s">
        <v>267</v>
      </c>
      <c r="H33" t="s">
        <v>329</v>
      </c>
    </row>
    <row r="34" spans="1:8" x14ac:dyDescent="0.35">
      <c r="A34" t="s">
        <v>409</v>
      </c>
      <c r="B34" t="s">
        <v>410</v>
      </c>
      <c r="C34" t="s">
        <v>411</v>
      </c>
      <c r="D34" t="s">
        <v>347</v>
      </c>
      <c r="E34" t="s">
        <v>412</v>
      </c>
      <c r="G34" t="s">
        <v>267</v>
      </c>
      <c r="H34" t="s">
        <v>376</v>
      </c>
    </row>
    <row r="35" spans="1:8" x14ac:dyDescent="0.35">
      <c r="A35" t="s">
        <v>413</v>
      </c>
      <c r="B35" t="s">
        <v>414</v>
      </c>
      <c r="C35" t="s">
        <v>415</v>
      </c>
      <c r="D35" t="s">
        <v>353</v>
      </c>
      <c r="E35" t="s">
        <v>412</v>
      </c>
      <c r="G35" t="s">
        <v>267</v>
      </c>
      <c r="H35" t="s">
        <v>416</v>
      </c>
    </row>
    <row r="36" spans="1:8" x14ac:dyDescent="0.35">
      <c r="A36" t="s">
        <v>417</v>
      </c>
      <c r="B36" t="s">
        <v>418</v>
      </c>
      <c r="C36" t="s">
        <v>419</v>
      </c>
      <c r="D36" t="s">
        <v>358</v>
      </c>
      <c r="E36" t="s">
        <v>412</v>
      </c>
      <c r="G36" t="s">
        <v>267</v>
      </c>
      <c r="H36" t="s">
        <v>359</v>
      </c>
    </row>
    <row r="37" spans="1:8" x14ac:dyDescent="0.35">
      <c r="A37" t="s">
        <v>420</v>
      </c>
      <c r="B37" t="s">
        <v>421</v>
      </c>
      <c r="C37" t="s">
        <v>422</v>
      </c>
      <c r="D37" t="s">
        <v>363</v>
      </c>
      <c r="E37" t="s">
        <v>412</v>
      </c>
      <c r="G37" t="s">
        <v>267</v>
      </c>
      <c r="H37" t="s">
        <v>291</v>
      </c>
    </row>
    <row r="38" spans="1:8" x14ac:dyDescent="0.35">
      <c r="A38" t="s">
        <v>423</v>
      </c>
      <c r="B38" t="s">
        <v>424</v>
      </c>
      <c r="C38" t="s">
        <v>425</v>
      </c>
      <c r="D38" t="s">
        <v>366</v>
      </c>
      <c r="E38" t="s">
        <v>412</v>
      </c>
      <c r="F38" t="s">
        <v>24</v>
      </c>
      <c r="G38" t="s">
        <v>267</v>
      </c>
      <c r="H38" t="s">
        <v>426</v>
      </c>
    </row>
    <row r="39" spans="1:8" x14ac:dyDescent="0.35">
      <c r="A39" t="s">
        <v>427</v>
      </c>
      <c r="B39" t="s">
        <v>428</v>
      </c>
      <c r="C39" t="s">
        <v>429</v>
      </c>
      <c r="D39" t="s">
        <v>358</v>
      </c>
      <c r="E39" t="s">
        <v>430</v>
      </c>
      <c r="F39" t="s">
        <v>380</v>
      </c>
      <c r="G39" t="s">
        <v>267</v>
      </c>
      <c r="H39">
        <v>6</v>
      </c>
    </row>
    <row r="40" spans="1:8" x14ac:dyDescent="0.35">
      <c r="A40" t="s">
        <v>431</v>
      </c>
      <c r="C40" t="s">
        <v>432</v>
      </c>
      <c r="D40" t="s">
        <v>433</v>
      </c>
      <c r="E40" t="s">
        <v>434</v>
      </c>
      <c r="G40" t="s">
        <v>435</v>
      </c>
    </row>
    <row r="41" spans="1:8" x14ac:dyDescent="0.35">
      <c r="A41" t="s">
        <v>436</v>
      </c>
      <c r="C41" t="s">
        <v>437</v>
      </c>
      <c r="D41" t="s">
        <v>438</v>
      </c>
      <c r="E41" t="s">
        <v>434</v>
      </c>
      <c r="G41" t="s">
        <v>435</v>
      </c>
    </row>
    <row r="42" spans="1:8" x14ac:dyDescent="0.35">
      <c r="A42" t="s">
        <v>439</v>
      </c>
      <c r="C42" t="s">
        <v>440</v>
      </c>
      <c r="D42" t="s">
        <v>441</v>
      </c>
      <c r="E42" t="s">
        <v>434</v>
      </c>
      <c r="G42" t="s">
        <v>435</v>
      </c>
    </row>
    <row r="43" spans="1:8" x14ac:dyDescent="0.35">
      <c r="A43" t="s">
        <v>442</v>
      </c>
      <c r="C43" t="s">
        <v>443</v>
      </c>
      <c r="D43" t="s">
        <v>444</v>
      </c>
      <c r="E43" t="s">
        <v>434</v>
      </c>
      <c r="G43" t="s">
        <v>435</v>
      </c>
    </row>
    <row r="44" spans="1:8" x14ac:dyDescent="0.35">
      <c r="A44" t="s">
        <v>445</v>
      </c>
      <c r="C44" t="s">
        <v>446</v>
      </c>
      <c r="D44" t="s">
        <v>447</v>
      </c>
      <c r="E44" t="s">
        <v>448</v>
      </c>
      <c r="G44" t="s">
        <v>435</v>
      </c>
    </row>
    <row r="45" spans="1:8" x14ac:dyDescent="0.35">
      <c r="A45" t="s">
        <v>449</v>
      </c>
      <c r="C45" t="s">
        <v>450</v>
      </c>
      <c r="D45" t="s">
        <v>451</v>
      </c>
      <c r="E45" t="s">
        <v>448</v>
      </c>
      <c r="G45" t="s">
        <v>435</v>
      </c>
    </row>
    <row r="46" spans="1:8" x14ac:dyDescent="0.35">
      <c r="A46" t="s">
        <v>452</v>
      </c>
      <c r="C46" t="s">
        <v>453</v>
      </c>
      <c r="D46" t="s">
        <v>454</v>
      </c>
      <c r="E46" t="s">
        <v>448</v>
      </c>
      <c r="G46" t="s">
        <v>435</v>
      </c>
    </row>
    <row r="47" spans="1:8" x14ac:dyDescent="0.35">
      <c r="A47" t="s">
        <v>455</v>
      </c>
      <c r="C47" t="s">
        <v>456</v>
      </c>
      <c r="D47" t="s">
        <v>457</v>
      </c>
      <c r="E47" t="s">
        <v>448</v>
      </c>
      <c r="G47" t="s">
        <v>435</v>
      </c>
    </row>
    <row r="48" spans="1:8" x14ac:dyDescent="0.35">
      <c r="A48" t="s">
        <v>458</v>
      </c>
      <c r="C48" t="s">
        <v>459</v>
      </c>
      <c r="D48" t="s">
        <v>460</v>
      </c>
      <c r="E48" t="s">
        <v>461</v>
      </c>
      <c r="G48" t="s">
        <v>435</v>
      </c>
    </row>
    <row r="49" spans="1:7" x14ac:dyDescent="0.35">
      <c r="A49" t="s">
        <v>462</v>
      </c>
      <c r="C49" t="s">
        <v>463</v>
      </c>
      <c r="D49" t="s">
        <v>464</v>
      </c>
      <c r="E49" t="s">
        <v>461</v>
      </c>
      <c r="G49" t="s">
        <v>435</v>
      </c>
    </row>
    <row r="50" spans="1:7" x14ac:dyDescent="0.35">
      <c r="A50" t="s">
        <v>465</v>
      </c>
      <c r="C50" t="s">
        <v>466</v>
      </c>
      <c r="D50" t="s">
        <v>467</v>
      </c>
      <c r="E50" t="s">
        <v>461</v>
      </c>
      <c r="G50" t="s">
        <v>435</v>
      </c>
    </row>
    <row r="51" spans="1:7" x14ac:dyDescent="0.35">
      <c r="A51" t="s">
        <v>468</v>
      </c>
      <c r="C51" t="s">
        <v>469</v>
      </c>
      <c r="D51" t="s">
        <v>470</v>
      </c>
      <c r="E51" t="s">
        <v>461</v>
      </c>
      <c r="G51" t="s">
        <v>435</v>
      </c>
    </row>
    <row r="52" spans="1:7" x14ac:dyDescent="0.35">
      <c r="A52" t="s">
        <v>471</v>
      </c>
      <c r="C52" t="s">
        <v>472</v>
      </c>
      <c r="D52" t="s">
        <v>473</v>
      </c>
      <c r="E52" t="s">
        <v>461</v>
      </c>
      <c r="G52" t="s">
        <v>435</v>
      </c>
    </row>
    <row r="53" spans="1:7" x14ac:dyDescent="0.35">
      <c r="A53" t="s">
        <v>474</v>
      </c>
      <c r="C53" t="s">
        <v>475</v>
      </c>
      <c r="D53" t="s">
        <v>476</v>
      </c>
      <c r="E53" t="s">
        <v>461</v>
      </c>
      <c r="G53" t="s">
        <v>435</v>
      </c>
    </row>
    <row r="54" spans="1:7" x14ac:dyDescent="0.35">
      <c r="A54" t="s">
        <v>477</v>
      </c>
      <c r="C54" t="s">
        <v>478</v>
      </c>
      <c r="D54" t="s">
        <v>479</v>
      </c>
      <c r="E54" t="s">
        <v>461</v>
      </c>
      <c r="G54" t="s">
        <v>435</v>
      </c>
    </row>
    <row r="55" spans="1:7" x14ac:dyDescent="0.35">
      <c r="A55" t="s">
        <v>480</v>
      </c>
      <c r="C55" t="s">
        <v>481</v>
      </c>
      <c r="D55" t="s">
        <v>482</v>
      </c>
      <c r="E55" t="s">
        <v>461</v>
      </c>
      <c r="G55" t="s">
        <v>435</v>
      </c>
    </row>
    <row r="56" spans="1:7" x14ac:dyDescent="0.35">
      <c r="A56" t="s">
        <v>483</v>
      </c>
      <c r="C56" t="s">
        <v>484</v>
      </c>
      <c r="D56" t="s">
        <v>485</v>
      </c>
      <c r="E56" t="s">
        <v>461</v>
      </c>
      <c r="G56" t="s">
        <v>435</v>
      </c>
    </row>
    <row r="57" spans="1:7" x14ac:dyDescent="0.35">
      <c r="A57" t="s">
        <v>486</v>
      </c>
      <c r="C57" t="s">
        <v>487</v>
      </c>
      <c r="D57" t="s">
        <v>488</v>
      </c>
      <c r="E57" t="s">
        <v>461</v>
      </c>
      <c r="G57" t="s">
        <v>435</v>
      </c>
    </row>
    <row r="58" spans="1:7" x14ac:dyDescent="0.35">
      <c r="A58" t="s">
        <v>489</v>
      </c>
      <c r="C58" t="s">
        <v>490</v>
      </c>
      <c r="D58" t="s">
        <v>491</v>
      </c>
      <c r="E58" t="s">
        <v>492</v>
      </c>
      <c r="G58" t="s">
        <v>435</v>
      </c>
    </row>
    <row r="59" spans="1:7" x14ac:dyDescent="0.35">
      <c r="A59" t="s">
        <v>493</v>
      </c>
      <c r="C59" t="s">
        <v>494</v>
      </c>
      <c r="D59" t="s">
        <v>495</v>
      </c>
      <c r="E59" t="s">
        <v>492</v>
      </c>
      <c r="G59" t="s">
        <v>435</v>
      </c>
    </row>
    <row r="60" spans="1:7" x14ac:dyDescent="0.35">
      <c r="A60" t="s">
        <v>496</v>
      </c>
      <c r="C60" t="s">
        <v>497</v>
      </c>
      <c r="D60" t="s">
        <v>498</v>
      </c>
      <c r="E60" t="s">
        <v>492</v>
      </c>
      <c r="G60" t="s">
        <v>435</v>
      </c>
    </row>
    <row r="61" spans="1:7" x14ac:dyDescent="0.35">
      <c r="A61" t="s">
        <v>499</v>
      </c>
      <c r="C61" t="s">
        <v>500</v>
      </c>
      <c r="D61" t="s">
        <v>501</v>
      </c>
      <c r="E61" t="s">
        <v>492</v>
      </c>
      <c r="G61" t="s">
        <v>435</v>
      </c>
    </row>
    <row r="62" spans="1:7" x14ac:dyDescent="0.35">
      <c r="A62" t="s">
        <v>502</v>
      </c>
      <c r="C62" t="s">
        <v>503</v>
      </c>
      <c r="D62" t="s">
        <v>504</v>
      </c>
      <c r="E62" t="s">
        <v>492</v>
      </c>
      <c r="G62" t="s">
        <v>435</v>
      </c>
    </row>
    <row r="63" spans="1:7" x14ac:dyDescent="0.35">
      <c r="A63" t="s">
        <v>505</v>
      </c>
      <c r="C63" t="s">
        <v>506</v>
      </c>
      <c r="D63" t="s">
        <v>507</v>
      </c>
      <c r="E63" t="s">
        <v>492</v>
      </c>
      <c r="G63" t="s">
        <v>435</v>
      </c>
    </row>
    <row r="64" spans="1:7" x14ac:dyDescent="0.35">
      <c r="A64" t="s">
        <v>508</v>
      </c>
      <c r="C64" t="s">
        <v>509</v>
      </c>
      <c r="D64" t="s">
        <v>510</v>
      </c>
      <c r="E64" t="s">
        <v>492</v>
      </c>
      <c r="G64" t="s">
        <v>435</v>
      </c>
    </row>
    <row r="65" spans="1:7" x14ac:dyDescent="0.35">
      <c r="A65" t="s">
        <v>511</v>
      </c>
      <c r="C65" t="s">
        <v>512</v>
      </c>
      <c r="D65" t="s">
        <v>513</v>
      </c>
      <c r="E65" t="s">
        <v>492</v>
      </c>
      <c r="G65" t="s">
        <v>435</v>
      </c>
    </row>
  </sheetData>
  <conditionalFormatting sqref="G1:G1048576">
    <cfRule type="colorScale" priority="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28777-6089-41B8-B457-F24864805B83}">
  <dimension ref="A1:E2"/>
  <sheetViews>
    <sheetView workbookViewId="0">
      <selection activeCell="B43" sqref="B43"/>
    </sheetView>
  </sheetViews>
  <sheetFormatPr defaultRowHeight="14.5" x14ac:dyDescent="0.35"/>
  <sheetData>
    <row r="1" spans="1:5" x14ac:dyDescent="0.35">
      <c r="A1" t="s">
        <v>8</v>
      </c>
      <c r="B1" t="s">
        <v>48</v>
      </c>
      <c r="C1" t="s">
        <v>24</v>
      </c>
      <c r="D1" t="s">
        <v>47</v>
      </c>
      <c r="E1" t="b">
        <v>0</v>
      </c>
    </row>
    <row r="2" spans="1:5" x14ac:dyDescent="0.35">
      <c r="A2" t="s">
        <v>6</v>
      </c>
      <c r="B2" t="s">
        <v>46</v>
      </c>
      <c r="C2" t="s">
        <v>45</v>
      </c>
      <c r="D2" t="s">
        <v>47</v>
      </c>
      <c r="E2" t="b">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A6F719-2015-4599-BDD8-E45ABDE3F1B2}">
  <ds:schemaRefs>
    <ds:schemaRef ds:uri="http://schemas.microsoft.com/DataMashup"/>
  </ds:schemaRefs>
</ds:datastoreItem>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shocks</vt:lpstr>
      <vt:lpstr>parameters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SULLIVAN, Hamish</dc:creator>
  <cp:lastModifiedBy>SULLIVAN, Hamish</cp:lastModifiedBy>
  <dcterms:created xsi:type="dcterms:W3CDTF">2025-10-29T02:49:17Z</dcterms:created>
  <dcterms:modified xsi:type="dcterms:W3CDTF">2026-07-17T01:05:08Z</dcterms:modified>
</cp:coreProperties>
</file>